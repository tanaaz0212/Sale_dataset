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tanaa\Desktop\"/>
    </mc:Choice>
  </mc:AlternateContent>
  <xr:revisionPtr revIDLastSave="0" documentId="13_ncr:1_{E7E9A4BF-A5A1-45DA-B08F-42F5000E42D7}" xr6:coauthVersionLast="47" xr6:coauthVersionMax="47" xr10:uidLastSave="{00000000-0000-0000-0000-000000000000}"/>
  <bookViews>
    <workbookView xWindow="-108" yWindow="-108" windowWidth="23256" windowHeight="13896" activeTab="7" xr2:uid="{00000000-000D-0000-FFFF-FFFF00000000}"/>
  </bookViews>
  <sheets>
    <sheet name="Discriptive" sheetId="2" r:id="rId1"/>
    <sheet name="Regression" sheetId="3" r:id="rId2"/>
    <sheet name="OBJ1" sheetId="4" r:id="rId3"/>
    <sheet name="OBJ2" sheetId="5" r:id="rId4"/>
    <sheet name="OBJ3" sheetId="6" r:id="rId5"/>
    <sheet name="OBJ4" sheetId="7" r:id="rId6"/>
    <sheet name="OBJ5" sheetId="9" r:id="rId7"/>
    <sheet name="Dashboard" sheetId="12" r:id="rId8"/>
    <sheet name="Sales_Project_Data" sheetId="1" r:id="rId9"/>
  </sheets>
  <definedNames>
    <definedName name="Slicer_Category">#N/A</definedName>
    <definedName name="Slicer_City">#N/A</definedName>
    <definedName name="Slicer_Product">#N/A</definedName>
  </definedNames>
  <calcPr calcId="191029"/>
  <pivotCaches>
    <pivotCache cacheId="2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12" l="1"/>
  <c r="N3" i="1"/>
</calcChain>
</file>

<file path=xl/sharedStrings.xml><?xml version="1.0" encoding="utf-8"?>
<sst xmlns="http://schemas.openxmlformats.org/spreadsheetml/2006/main" count="4146" uniqueCount="1250">
  <si>
    <t>Order_ID</t>
  </si>
  <si>
    <t>Order_Date</t>
  </si>
  <si>
    <t>Customer_ID</t>
  </si>
  <si>
    <t>Customer_Name</t>
  </si>
  <si>
    <t>Product</t>
  </si>
  <si>
    <t>Category</t>
  </si>
  <si>
    <t>Quantity</t>
  </si>
  <si>
    <t>Unit_Price</t>
  </si>
  <si>
    <t>Total_Sales</t>
  </si>
  <si>
    <t>City</t>
  </si>
  <si>
    <t>Payment_Mode</t>
  </si>
  <si>
    <t>Order_Status</t>
  </si>
  <si>
    <t>ORD00001</t>
  </si>
  <si>
    <t>2023-02-09</t>
  </si>
  <si>
    <t>CUST2970</t>
  </si>
  <si>
    <t>Vikram</t>
  </si>
  <si>
    <t>Desk</t>
  </si>
  <si>
    <t>Furniture</t>
  </si>
  <si>
    <t>Mumbai</t>
  </si>
  <si>
    <t>Cash</t>
  </si>
  <si>
    <t>Completed</t>
  </si>
  <si>
    <t>ORD00002</t>
  </si>
  <si>
    <t>2023-01-04</t>
  </si>
  <si>
    <t>CUST6010</t>
  </si>
  <si>
    <t>Neha</t>
  </si>
  <si>
    <t>Laptop</t>
  </si>
  <si>
    <t>Electronics</t>
  </si>
  <si>
    <t>Hyderabad</t>
  </si>
  <si>
    <t>Net Banking</t>
  </si>
  <si>
    <t>ORD00003</t>
  </si>
  <si>
    <t>2023-10-24</t>
  </si>
  <si>
    <t>CUST2722</t>
  </si>
  <si>
    <t>Karan</t>
  </si>
  <si>
    <t>Headphones</t>
  </si>
  <si>
    <t>Accessories</t>
  </si>
  <si>
    <t>UPI</t>
  </si>
  <si>
    <t>ORD00004</t>
  </si>
  <si>
    <t>2023-03-30</t>
  </si>
  <si>
    <t>CUST4142</t>
  </si>
  <si>
    <t>Aarav</t>
  </si>
  <si>
    <t>Chennai</t>
  </si>
  <si>
    <t>Cancelled</t>
  </si>
  <si>
    <t>ORD00005</t>
  </si>
  <si>
    <t>2023-04-18</t>
  </si>
  <si>
    <t>CUST6251</t>
  </si>
  <si>
    <t>Ananya</t>
  </si>
  <si>
    <t>ORD00006</t>
  </si>
  <si>
    <t>2023-07-01</t>
  </si>
  <si>
    <t>CUST3140</t>
  </si>
  <si>
    <t>Diya</t>
  </si>
  <si>
    <t>Pune</t>
  </si>
  <si>
    <t>ORD00007</t>
  </si>
  <si>
    <t>2023-03-11</t>
  </si>
  <si>
    <t>CUST8634</t>
  </si>
  <si>
    <t>Office Chair</t>
  </si>
  <si>
    <t>Debit Card</t>
  </si>
  <si>
    <t>Pending</t>
  </si>
  <si>
    <t>ORD00008</t>
  </si>
  <si>
    <t>2023-11-01</t>
  </si>
  <si>
    <t>CUST2243</t>
  </si>
  <si>
    <t>ORD00009</t>
  </si>
  <si>
    <t>2023-12-15</t>
  </si>
  <si>
    <t>CUST9456</t>
  </si>
  <si>
    <t>Pooja</t>
  </si>
  <si>
    <t>Mobile Phone</t>
  </si>
  <si>
    <t>ORD00010</t>
  </si>
  <si>
    <t>2023-11-03</t>
  </si>
  <si>
    <t>CUST3080</t>
  </si>
  <si>
    <t>ORD00011</t>
  </si>
  <si>
    <t>2023-10-21</t>
  </si>
  <si>
    <t>CUST1828</t>
  </si>
  <si>
    <t>Isha</t>
  </si>
  <si>
    <t>Bangalore</t>
  </si>
  <si>
    <t>ORD00012</t>
  </si>
  <si>
    <t>2023-02-04</t>
  </si>
  <si>
    <t>CUST3718</t>
  </si>
  <si>
    <t>Credit Card</t>
  </si>
  <si>
    <t>ORD00013</t>
  </si>
  <si>
    <t>CUST5514</t>
  </si>
  <si>
    <t>Delhi</t>
  </si>
  <si>
    <t>ORD00014</t>
  </si>
  <si>
    <t>2023-10-15</t>
  </si>
  <si>
    <t>CUST8898</t>
  </si>
  <si>
    <t>Sneha</t>
  </si>
  <si>
    <t>ORD00015</t>
  </si>
  <si>
    <t>2023-10-10</t>
  </si>
  <si>
    <t>CUST8160</t>
  </si>
  <si>
    <t>ORD00016</t>
  </si>
  <si>
    <t>2023-08-08</t>
  </si>
  <si>
    <t>CUST6354</t>
  </si>
  <si>
    <t>ORD00017</t>
  </si>
  <si>
    <t>2023-10-25</t>
  </si>
  <si>
    <t>CUST7367</t>
  </si>
  <si>
    <t>Rohan</t>
  </si>
  <si>
    <t>ORD00018</t>
  </si>
  <si>
    <t>2023-06-15</t>
  </si>
  <si>
    <t>CUST2500</t>
  </si>
  <si>
    <t>ORD00019</t>
  </si>
  <si>
    <t>2023-06-11</t>
  </si>
  <si>
    <t>CUST7963</t>
  </si>
  <si>
    <t>ORD00020</t>
  </si>
  <si>
    <t>2023-04-04</t>
  </si>
  <si>
    <t>CUST4101</t>
  </si>
  <si>
    <t>Amit</t>
  </si>
  <si>
    <t>Tablet</t>
  </si>
  <si>
    <t>ORD00021</t>
  </si>
  <si>
    <t>2023-10-23</t>
  </si>
  <si>
    <t>CUST6306</t>
  </si>
  <si>
    <t>ORD00022</t>
  </si>
  <si>
    <t>2023-01-30</t>
  </si>
  <si>
    <t>CUST3064</t>
  </si>
  <si>
    <t>ORD00023</t>
  </si>
  <si>
    <t>2023-07-18</t>
  </si>
  <si>
    <t>CUST9995</t>
  </si>
  <si>
    <t>ORD00024</t>
  </si>
  <si>
    <t>2023-08-11</t>
  </si>
  <si>
    <t>CUST7626</t>
  </si>
  <si>
    <t>ORD00025</t>
  </si>
  <si>
    <t>2023-11-12</t>
  </si>
  <si>
    <t>CUST3967</t>
  </si>
  <si>
    <t>ORD00026</t>
  </si>
  <si>
    <t>CUST4216</t>
  </si>
  <si>
    <t>ORD00027</t>
  </si>
  <si>
    <t>2023-02-10</t>
  </si>
  <si>
    <t>CUST8618</t>
  </si>
  <si>
    <t>ORD00028</t>
  </si>
  <si>
    <t>2023-06-21</t>
  </si>
  <si>
    <t>CUST3093</t>
  </si>
  <si>
    <t>ORD00029</t>
  </si>
  <si>
    <t>2023-06-19</t>
  </si>
  <si>
    <t>CUST8745</t>
  </si>
  <si>
    <t>ORD00030</t>
  </si>
  <si>
    <t>2023-07-09</t>
  </si>
  <si>
    <t>CUST1702</t>
  </si>
  <si>
    <t>ORD00031</t>
  </si>
  <si>
    <t>2023-01-29</t>
  </si>
  <si>
    <t>CUST2641</t>
  </si>
  <si>
    <t>ORD00032</t>
  </si>
  <si>
    <t>2023-03-29</t>
  </si>
  <si>
    <t>CUST2765</t>
  </si>
  <si>
    <t>ORD00033</t>
  </si>
  <si>
    <t>2023-09-03</t>
  </si>
  <si>
    <t>CUST6837</t>
  </si>
  <si>
    <t>Rahul</t>
  </si>
  <si>
    <t>ORD00034</t>
  </si>
  <si>
    <t>2023-11-18</t>
  </si>
  <si>
    <t>CUST4448</t>
  </si>
  <si>
    <t>ORD00035</t>
  </si>
  <si>
    <t>2023-08-14</t>
  </si>
  <si>
    <t>CUST1287</t>
  </si>
  <si>
    <t>ORD00036</t>
  </si>
  <si>
    <t>2023-11-16</t>
  </si>
  <si>
    <t>CUST4793</t>
  </si>
  <si>
    <t>ORD00037</t>
  </si>
  <si>
    <t>2023-05-14</t>
  </si>
  <si>
    <t>CUST2387</t>
  </si>
  <si>
    <t>ORD00038</t>
  </si>
  <si>
    <t>2023-08-26</t>
  </si>
  <si>
    <t>CUST1607</t>
  </si>
  <si>
    <t>ORD00039</t>
  </si>
  <si>
    <t>2023-03-13</t>
  </si>
  <si>
    <t>CUST2861</t>
  </si>
  <si>
    <t>ORD00040</t>
  </si>
  <si>
    <t>2023-04-08</t>
  </si>
  <si>
    <t>CUST9492</t>
  </si>
  <si>
    <t>ORD00041</t>
  </si>
  <si>
    <t>2023-07-16</t>
  </si>
  <si>
    <t>CUST2372</t>
  </si>
  <si>
    <t>ORD00042</t>
  </si>
  <si>
    <t>2023-04-11</t>
  </si>
  <si>
    <t>CUST7526</t>
  </si>
  <si>
    <t>ORD00043</t>
  </si>
  <si>
    <t>CUST8723</t>
  </si>
  <si>
    <t>ORD00044</t>
  </si>
  <si>
    <t>2023-02-28</t>
  </si>
  <si>
    <t>CUST1512</t>
  </si>
  <si>
    <t>ORD00045</t>
  </si>
  <si>
    <t>CUST4355</t>
  </si>
  <si>
    <t>ORD00046</t>
  </si>
  <si>
    <t>2023-09-27</t>
  </si>
  <si>
    <t>CUST8467</t>
  </si>
  <si>
    <t>ORD00047</t>
  </si>
  <si>
    <t>2023-05-20</t>
  </si>
  <si>
    <t>CUST5062</t>
  </si>
  <si>
    <t>ORD00048</t>
  </si>
  <si>
    <t>2023-04-29</t>
  </si>
  <si>
    <t>CUST8007</t>
  </si>
  <si>
    <t>ORD00049</t>
  </si>
  <si>
    <t>2023-07-23</t>
  </si>
  <si>
    <t>CUST1856</t>
  </si>
  <si>
    <t>ORD00050</t>
  </si>
  <si>
    <t>2023-10-04</t>
  </si>
  <si>
    <t>CUST5590</t>
  </si>
  <si>
    <t>ORD00051</t>
  </si>
  <si>
    <t>2023-05-29</t>
  </si>
  <si>
    <t>CUST7825</t>
  </si>
  <si>
    <t>ORD00052</t>
  </si>
  <si>
    <t>2023-11-20</t>
  </si>
  <si>
    <t>CUST2334</t>
  </si>
  <si>
    <t>ORD00053</t>
  </si>
  <si>
    <t>2023-10-07</t>
  </si>
  <si>
    <t>CUST2030</t>
  </si>
  <si>
    <t>ORD00054</t>
  </si>
  <si>
    <t>2023-09-04</t>
  </si>
  <si>
    <t>CUST2756</t>
  </si>
  <si>
    <t>ORD00055</t>
  </si>
  <si>
    <t>2023-01-01</t>
  </si>
  <si>
    <t>CUST6694</t>
  </si>
  <si>
    <t>ORD00056</t>
  </si>
  <si>
    <t>2023-10-22</t>
  </si>
  <si>
    <t>CUST1911</t>
  </si>
  <si>
    <t>ORD00057</t>
  </si>
  <si>
    <t>CUST3842</t>
  </si>
  <si>
    <t>ORD00058</t>
  </si>
  <si>
    <t>CUST7950</t>
  </si>
  <si>
    <t>ORD00059</t>
  </si>
  <si>
    <t>2023-06-27</t>
  </si>
  <si>
    <t>CUST1279</t>
  </si>
  <si>
    <t>ORD00060</t>
  </si>
  <si>
    <t>2023-09-08</t>
  </si>
  <si>
    <t>CUST5643</t>
  </si>
  <si>
    <t>ORD00061</t>
  </si>
  <si>
    <t>2023-05-10</t>
  </si>
  <si>
    <t>CUST5831</t>
  </si>
  <si>
    <t>ORD00062</t>
  </si>
  <si>
    <t>2023-07-12</t>
  </si>
  <si>
    <t>CUST8962</t>
  </si>
  <si>
    <t>ORD00063</t>
  </si>
  <si>
    <t>2023-01-05</t>
  </si>
  <si>
    <t>CUST3584</t>
  </si>
  <si>
    <t>ORD00064</t>
  </si>
  <si>
    <t>2023-11-25</t>
  </si>
  <si>
    <t>CUST4585</t>
  </si>
  <si>
    <t>ORD00065</t>
  </si>
  <si>
    <t>2023-07-28</t>
  </si>
  <si>
    <t>CUST6200</t>
  </si>
  <si>
    <t>ORD00066</t>
  </si>
  <si>
    <t>2023-07-07</t>
  </si>
  <si>
    <t>CUST1668</t>
  </si>
  <si>
    <t>ORD00067</t>
  </si>
  <si>
    <t>2023-01-20</t>
  </si>
  <si>
    <t>CUST4215</t>
  </si>
  <si>
    <t>ORD00068</t>
  </si>
  <si>
    <t>2023-02-06</t>
  </si>
  <si>
    <t>CUST2881</t>
  </si>
  <si>
    <t>ORD00069</t>
  </si>
  <si>
    <t>2023-10-14</t>
  </si>
  <si>
    <t>CUST3116</t>
  </si>
  <si>
    <t>ORD00070</t>
  </si>
  <si>
    <t>2023-01-18</t>
  </si>
  <si>
    <t>CUST7920</t>
  </si>
  <si>
    <t>ORD00071</t>
  </si>
  <si>
    <t>2023-08-19</t>
  </si>
  <si>
    <t>CUST1683</t>
  </si>
  <si>
    <t>ORD00072</t>
  </si>
  <si>
    <t>2023-04-17</t>
  </si>
  <si>
    <t>CUST1505</t>
  </si>
  <si>
    <t>ORD00073</t>
  </si>
  <si>
    <t>2023-03-05</t>
  </si>
  <si>
    <t>CUST3242</t>
  </si>
  <si>
    <t>ORD00074</t>
  </si>
  <si>
    <t>2023-08-27</t>
  </si>
  <si>
    <t>CUST6592</t>
  </si>
  <si>
    <t>ORD00075</t>
  </si>
  <si>
    <t>2023-02-02</t>
  </si>
  <si>
    <t>CUST4551</t>
  </si>
  <si>
    <t>ORD00076</t>
  </si>
  <si>
    <t>2023-02-16</t>
  </si>
  <si>
    <t>CUST3587</t>
  </si>
  <si>
    <t>ORD00077</t>
  </si>
  <si>
    <t>2023-03-26</t>
  </si>
  <si>
    <t>CUST5217</t>
  </si>
  <si>
    <t>ORD00078</t>
  </si>
  <si>
    <t>2023-07-26</t>
  </si>
  <si>
    <t>CUST6717</t>
  </si>
  <si>
    <t>ORD00079</t>
  </si>
  <si>
    <t>CUST1492</t>
  </si>
  <si>
    <t>ORD00080</t>
  </si>
  <si>
    <t>2023-01-11</t>
  </si>
  <si>
    <t>CUST1663</t>
  </si>
  <si>
    <t>ORD00081</t>
  </si>
  <si>
    <t>2023-08-24</t>
  </si>
  <si>
    <t>CUST5499</t>
  </si>
  <si>
    <t>ORD00082</t>
  </si>
  <si>
    <t>2023-03-06</t>
  </si>
  <si>
    <t>CUST9624</t>
  </si>
  <si>
    <t>ORD00083</t>
  </si>
  <si>
    <t>2023-01-08</t>
  </si>
  <si>
    <t>CUST7338</t>
  </si>
  <si>
    <t>ORD00084</t>
  </si>
  <si>
    <t>2023-06-26</t>
  </si>
  <si>
    <t>CUST4501</t>
  </si>
  <si>
    <t>ORD00085</t>
  </si>
  <si>
    <t>2023-12-19</t>
  </si>
  <si>
    <t>CUST6282</t>
  </si>
  <si>
    <t>ORD00086</t>
  </si>
  <si>
    <t>2023-08-15</t>
  </si>
  <si>
    <t>CUST8193</t>
  </si>
  <si>
    <t>ORD00087</t>
  </si>
  <si>
    <t>2023-03-16</t>
  </si>
  <si>
    <t>CUST1411</t>
  </si>
  <si>
    <t>ORD00088</t>
  </si>
  <si>
    <t>CUST9104</t>
  </si>
  <si>
    <t>ORD00089</t>
  </si>
  <si>
    <t>CUST1218</t>
  </si>
  <si>
    <t>ORD00090</t>
  </si>
  <si>
    <t>2023-11-02</t>
  </si>
  <si>
    <t>CUST2834</t>
  </si>
  <si>
    <t>ORD00091</t>
  </si>
  <si>
    <t>CUST9891</t>
  </si>
  <si>
    <t>ORD00092</t>
  </si>
  <si>
    <t>2023-11-14</t>
  </si>
  <si>
    <t>CUST3579</t>
  </si>
  <si>
    <t>ORD00093</t>
  </si>
  <si>
    <t>2023-07-30</t>
  </si>
  <si>
    <t>CUST4926</t>
  </si>
  <si>
    <t>ORD00094</t>
  </si>
  <si>
    <t>2023-12-18</t>
  </si>
  <si>
    <t>CUST9139</t>
  </si>
  <si>
    <t>ORD00095</t>
  </si>
  <si>
    <t>CUST2340</t>
  </si>
  <si>
    <t>ORD00096</t>
  </si>
  <si>
    <t>CUST4375</t>
  </si>
  <si>
    <t>ORD00097</t>
  </si>
  <si>
    <t>CUST5109</t>
  </si>
  <si>
    <t>ORD00098</t>
  </si>
  <si>
    <t>2023-11-06</t>
  </si>
  <si>
    <t>CUST8416</t>
  </si>
  <si>
    <t>ORD00099</t>
  </si>
  <si>
    <t>CUST4200</t>
  </si>
  <si>
    <t>ORD00100</t>
  </si>
  <si>
    <t>2023-02-08</t>
  </si>
  <si>
    <t>CUST5969</t>
  </si>
  <si>
    <t>ORD00101</t>
  </si>
  <si>
    <t>2023-01-16</t>
  </si>
  <si>
    <t>CUST4581</t>
  </si>
  <si>
    <t>ORD00102</t>
  </si>
  <si>
    <t>2023-09-02</t>
  </si>
  <si>
    <t>CUST9605</t>
  </si>
  <si>
    <t>ORD00103</t>
  </si>
  <si>
    <t>2023-11-11</t>
  </si>
  <si>
    <t>CUST2761</t>
  </si>
  <si>
    <t>ORD00104</t>
  </si>
  <si>
    <t>2023-02-11</t>
  </si>
  <si>
    <t>CUST8737</t>
  </si>
  <si>
    <t>ORD00105</t>
  </si>
  <si>
    <t>2023-09-21</t>
  </si>
  <si>
    <t>CUST8293</t>
  </si>
  <si>
    <t>ORD00106</t>
  </si>
  <si>
    <t>2023-03-20</t>
  </si>
  <si>
    <t>CUST1585</t>
  </si>
  <si>
    <t>ORD00107</t>
  </si>
  <si>
    <t>2023-01-26</t>
  </si>
  <si>
    <t>CUST6979</t>
  </si>
  <si>
    <t>ORD00108</t>
  </si>
  <si>
    <t>CUST2882</t>
  </si>
  <si>
    <t>ORD00109</t>
  </si>
  <si>
    <t>2023-04-24</t>
  </si>
  <si>
    <t>CUST4722</t>
  </si>
  <si>
    <t>ORD00110</t>
  </si>
  <si>
    <t>2023-05-25</t>
  </si>
  <si>
    <t>CUST5544</t>
  </si>
  <si>
    <t>ORD00111</t>
  </si>
  <si>
    <t>2023-09-09</t>
  </si>
  <si>
    <t>CUST2034</t>
  </si>
  <si>
    <t>ORD00112</t>
  </si>
  <si>
    <t>2023-01-31</t>
  </si>
  <si>
    <t>CUST1135</t>
  </si>
  <si>
    <t>ORD00113</t>
  </si>
  <si>
    <t>CUST5095</t>
  </si>
  <si>
    <t>ORD00114</t>
  </si>
  <si>
    <t>2023-09-12</t>
  </si>
  <si>
    <t>CUST2166</t>
  </si>
  <si>
    <t>ORD00115</t>
  </si>
  <si>
    <t>2023-01-24</t>
  </si>
  <si>
    <t>CUST7542</t>
  </si>
  <si>
    <t>ORD00116</t>
  </si>
  <si>
    <t>CUST1389</t>
  </si>
  <si>
    <t>ORD00117</t>
  </si>
  <si>
    <t>2023-10-31</t>
  </si>
  <si>
    <t>CUST5733</t>
  </si>
  <si>
    <t>ORD00118</t>
  </si>
  <si>
    <t>CUST8437</t>
  </si>
  <si>
    <t>ORD00119</t>
  </si>
  <si>
    <t>2023-04-09</t>
  </si>
  <si>
    <t>CUST4678</t>
  </si>
  <si>
    <t>ORD00120</t>
  </si>
  <si>
    <t>2023-04-22</t>
  </si>
  <si>
    <t>CUST9337</t>
  </si>
  <si>
    <t>ORD00121</t>
  </si>
  <si>
    <t>2023-10-11</t>
  </si>
  <si>
    <t>ORD00122</t>
  </si>
  <si>
    <t>CUST2077</t>
  </si>
  <si>
    <t>ORD00123</t>
  </si>
  <si>
    <t>2023-05-07</t>
  </si>
  <si>
    <t>CUST7419</t>
  </si>
  <si>
    <t>ORD00124</t>
  </si>
  <si>
    <t>CUST6161</t>
  </si>
  <si>
    <t>ORD00125</t>
  </si>
  <si>
    <t>CUST1058</t>
  </si>
  <si>
    <t>ORD00126</t>
  </si>
  <si>
    <t>CUST7006</t>
  </si>
  <si>
    <t>ORD00127</t>
  </si>
  <si>
    <t>2023-06-25</t>
  </si>
  <si>
    <t>CUST9905</t>
  </si>
  <si>
    <t>ORD00128</t>
  </si>
  <si>
    <t>2023-06-09</t>
  </si>
  <si>
    <t>CUST3401</t>
  </si>
  <si>
    <t>ORD00129</t>
  </si>
  <si>
    <t>CUST6753</t>
  </si>
  <si>
    <t>ORD00130</t>
  </si>
  <si>
    <t>CUST3540</t>
  </si>
  <si>
    <t>ORD00131</t>
  </si>
  <si>
    <t>2023-05-30</t>
  </si>
  <si>
    <t>CUST5262</t>
  </si>
  <si>
    <t>ORD00132</t>
  </si>
  <si>
    <t>2023-05-31</t>
  </si>
  <si>
    <t>CUST1305</t>
  </si>
  <si>
    <t>ORD00133</t>
  </si>
  <si>
    <t>2023-04-16</t>
  </si>
  <si>
    <t>CUST6872</t>
  </si>
  <si>
    <t>ORD00134</t>
  </si>
  <si>
    <t>2023-09-24</t>
  </si>
  <si>
    <t>CUST8729</t>
  </si>
  <si>
    <t>ORD00135</t>
  </si>
  <si>
    <t>CUST1652</t>
  </si>
  <si>
    <t>ORD00136</t>
  </si>
  <si>
    <t>2023-10-27</t>
  </si>
  <si>
    <t>CUST7679</t>
  </si>
  <si>
    <t>ORD00137</t>
  </si>
  <si>
    <t>2023-02-17</t>
  </si>
  <si>
    <t>CUST1912</t>
  </si>
  <si>
    <t>ORD00138</t>
  </si>
  <si>
    <t>2023-05-28</t>
  </si>
  <si>
    <t>CUST6411</t>
  </si>
  <si>
    <t>ORD00139</t>
  </si>
  <si>
    <t>2023-11-07</t>
  </si>
  <si>
    <t>CUST4262</t>
  </si>
  <si>
    <t>ORD00140</t>
  </si>
  <si>
    <t>2023-11-27</t>
  </si>
  <si>
    <t>CUST7149</t>
  </si>
  <si>
    <t>ORD00141</t>
  </si>
  <si>
    <t>2023-10-20</t>
  </si>
  <si>
    <t>CUST6349</t>
  </si>
  <si>
    <t>ORD00142</t>
  </si>
  <si>
    <t>2023-11-30</t>
  </si>
  <si>
    <t>CUST6450</t>
  </si>
  <si>
    <t>ORD00143</t>
  </si>
  <si>
    <t>2023-06-02</t>
  </si>
  <si>
    <t>CUST1068</t>
  </si>
  <si>
    <t>ORD00144</t>
  </si>
  <si>
    <t>CUST6644</t>
  </si>
  <si>
    <t>ORD00145</t>
  </si>
  <si>
    <t>CUST6710</t>
  </si>
  <si>
    <t>ORD00146</t>
  </si>
  <si>
    <t>2023-04-20</t>
  </si>
  <si>
    <t>CUST3700</t>
  </si>
  <si>
    <t>ORD00147</t>
  </si>
  <si>
    <t>2023-12-02</t>
  </si>
  <si>
    <t>CUST2713</t>
  </si>
  <si>
    <t>ORD00148</t>
  </si>
  <si>
    <t>2023-06-05</t>
  </si>
  <si>
    <t>CUST8875</t>
  </si>
  <si>
    <t>ORD00149</t>
  </si>
  <si>
    <t>2023-12-08</t>
  </si>
  <si>
    <t>CUST9588</t>
  </si>
  <si>
    <t>ORD00150</t>
  </si>
  <si>
    <t>2023-11-21</t>
  </si>
  <si>
    <t>CUST7804</t>
  </si>
  <si>
    <t>ORD00151</t>
  </si>
  <si>
    <t>CUST3563</t>
  </si>
  <si>
    <t>ORD00152</t>
  </si>
  <si>
    <t>CUST8351</t>
  </si>
  <si>
    <t>ORD00153</t>
  </si>
  <si>
    <t>2023-09-14</t>
  </si>
  <si>
    <t>CUST4755</t>
  </si>
  <si>
    <t>ORD00154</t>
  </si>
  <si>
    <t>CUST7075</t>
  </si>
  <si>
    <t>ORD00155</t>
  </si>
  <si>
    <t>2023-04-05</t>
  </si>
  <si>
    <t>CUST6390</t>
  </si>
  <si>
    <t>ORD00156</t>
  </si>
  <si>
    <t>2023-06-28</t>
  </si>
  <si>
    <t>CUST3514</t>
  </si>
  <si>
    <t>ORD00157</t>
  </si>
  <si>
    <t>2023-04-03</t>
  </si>
  <si>
    <t>CUST6441</t>
  </si>
  <si>
    <t>ORD00158</t>
  </si>
  <si>
    <t>2023-12-21</t>
  </si>
  <si>
    <t>CUST9377</t>
  </si>
  <si>
    <t>ORD00159</t>
  </si>
  <si>
    <t>2023-03-18</t>
  </si>
  <si>
    <t>CUST9560</t>
  </si>
  <si>
    <t>ORD00160</t>
  </si>
  <si>
    <t>CUST8340</t>
  </si>
  <si>
    <t>ORD00161</t>
  </si>
  <si>
    <t>2023-11-13</t>
  </si>
  <si>
    <t>CUST2083</t>
  </si>
  <si>
    <t>ORD00162</t>
  </si>
  <si>
    <t>2023-11-28</t>
  </si>
  <si>
    <t>CUST9128</t>
  </si>
  <si>
    <t>ORD00163</t>
  </si>
  <si>
    <t>2023-12-16</t>
  </si>
  <si>
    <t>CUST2642</t>
  </si>
  <si>
    <t>ORD00164</t>
  </si>
  <si>
    <t>2023-02-14</t>
  </si>
  <si>
    <t>CUST4366</t>
  </si>
  <si>
    <t>ORD00165</t>
  </si>
  <si>
    <t>2023-12-26</t>
  </si>
  <si>
    <t>CUST6164</t>
  </si>
  <si>
    <t>ORD00166</t>
  </si>
  <si>
    <t>CUST3548</t>
  </si>
  <si>
    <t>ORD00167</t>
  </si>
  <si>
    <t>CUST2399</t>
  </si>
  <si>
    <t>ORD00168</t>
  </si>
  <si>
    <t>2023-07-31</t>
  </si>
  <si>
    <t>CUST7057</t>
  </si>
  <si>
    <t>ORD00169</t>
  </si>
  <si>
    <t>2023-04-13</t>
  </si>
  <si>
    <t>CUST8772</t>
  </si>
  <si>
    <t>ORD00170</t>
  </si>
  <si>
    <t>CUST1971</t>
  </si>
  <si>
    <t>ORD00171</t>
  </si>
  <si>
    <t>2023-11-17</t>
  </si>
  <si>
    <t>CUST1921</t>
  </si>
  <si>
    <t>ORD00172</t>
  </si>
  <si>
    <t>2023-06-29</t>
  </si>
  <si>
    <t>CUST2185</t>
  </si>
  <si>
    <t>ORD00173</t>
  </si>
  <si>
    <t>2023-04-01</t>
  </si>
  <si>
    <t>CUST6796</t>
  </si>
  <si>
    <t>ORD00174</t>
  </si>
  <si>
    <t>2023-10-08</t>
  </si>
  <si>
    <t>CUST1561</t>
  </si>
  <si>
    <t>ORD00175</t>
  </si>
  <si>
    <t>CUST2470</t>
  </si>
  <si>
    <t>ORD00176</t>
  </si>
  <si>
    <t>CUST2291</t>
  </si>
  <si>
    <t>ORD00177</t>
  </si>
  <si>
    <t>CUST5401</t>
  </si>
  <si>
    <t>ORD00178</t>
  </si>
  <si>
    <t>CUST6060</t>
  </si>
  <si>
    <t>ORD00179</t>
  </si>
  <si>
    <t>2023-09-29</t>
  </si>
  <si>
    <t>CUST6289</t>
  </si>
  <si>
    <t>ORD00180</t>
  </si>
  <si>
    <t>2023-10-18</t>
  </si>
  <si>
    <t>CUST2102</t>
  </si>
  <si>
    <t>ORD00181</t>
  </si>
  <si>
    <t>2023-05-22</t>
  </si>
  <si>
    <t>CUST7056</t>
  </si>
  <si>
    <t>ORD00182</t>
  </si>
  <si>
    <t>CUST3293</t>
  </si>
  <si>
    <t>ORD00183</t>
  </si>
  <si>
    <t>2023-11-09</t>
  </si>
  <si>
    <t>CUST4153</t>
  </si>
  <si>
    <t>ORD00184</t>
  </si>
  <si>
    <t>CUST8384</t>
  </si>
  <si>
    <t>ORD00185</t>
  </si>
  <si>
    <t>2023-02-26</t>
  </si>
  <si>
    <t>CUST2837</t>
  </si>
  <si>
    <t>ORD00186</t>
  </si>
  <si>
    <t>2023-04-15</t>
  </si>
  <si>
    <t>CUST6267</t>
  </si>
  <si>
    <t>ORD00187</t>
  </si>
  <si>
    <t>CUST8696</t>
  </si>
  <si>
    <t>ORD00188</t>
  </si>
  <si>
    <t>2023-02-21</t>
  </si>
  <si>
    <t>CUST3181</t>
  </si>
  <si>
    <t>ORD00189</t>
  </si>
  <si>
    <t>CUST8357</t>
  </si>
  <si>
    <t>ORD00190</t>
  </si>
  <si>
    <t>2023-05-23</t>
  </si>
  <si>
    <t>CUST2070</t>
  </si>
  <si>
    <t>ORD00191</t>
  </si>
  <si>
    <t>2023-05-15</t>
  </si>
  <si>
    <t>CUST2084</t>
  </si>
  <si>
    <t>ORD00192</t>
  </si>
  <si>
    <t>2023-02-15</t>
  </si>
  <si>
    <t>CUST4398</t>
  </si>
  <si>
    <t>ORD00193</t>
  </si>
  <si>
    <t>CUST7105</t>
  </si>
  <si>
    <t>ORD00194</t>
  </si>
  <si>
    <t>2023-01-15</t>
  </si>
  <si>
    <t>CUST8879</t>
  </si>
  <si>
    <t>ORD00195</t>
  </si>
  <si>
    <t>CUST1320</t>
  </si>
  <si>
    <t>ORD00196</t>
  </si>
  <si>
    <t>2023-08-03</t>
  </si>
  <si>
    <t>CUST2671</t>
  </si>
  <si>
    <t>ORD00197</t>
  </si>
  <si>
    <t>CUST6380</t>
  </si>
  <si>
    <t>ORD00198</t>
  </si>
  <si>
    <t>CUST1802</t>
  </si>
  <si>
    <t>ORD00199</t>
  </si>
  <si>
    <t>2023-07-27</t>
  </si>
  <si>
    <t>CUST3519</t>
  </si>
  <si>
    <t>ORD00200</t>
  </si>
  <si>
    <t>2023-03-27</t>
  </si>
  <si>
    <t>CUST9893</t>
  </si>
  <si>
    <t>ORD00201</t>
  </si>
  <si>
    <t>2023-09-30</t>
  </si>
  <si>
    <t>CUST1402</t>
  </si>
  <si>
    <t>ORD00202</t>
  </si>
  <si>
    <t>CUST8482</t>
  </si>
  <si>
    <t>ORD00203</t>
  </si>
  <si>
    <t>CUST3257</t>
  </si>
  <si>
    <t>ORD00204</t>
  </si>
  <si>
    <t>2023-11-08</t>
  </si>
  <si>
    <t>CUST1240</t>
  </si>
  <si>
    <t>ORD00205</t>
  </si>
  <si>
    <t>2023-10-13</t>
  </si>
  <si>
    <t>CUST2693</t>
  </si>
  <si>
    <t>ORD00206</t>
  </si>
  <si>
    <t>CUST1898</t>
  </si>
  <si>
    <t>ORD00207</t>
  </si>
  <si>
    <t>2023-07-04</t>
  </si>
  <si>
    <t>CUST6877</t>
  </si>
  <si>
    <t>ORD00208</t>
  </si>
  <si>
    <t>2023-09-25</t>
  </si>
  <si>
    <t>CUST1575</t>
  </si>
  <si>
    <t>ORD00209</t>
  </si>
  <si>
    <t>CUST2647</t>
  </si>
  <si>
    <t>ORD00210</t>
  </si>
  <si>
    <t>2023-05-04</t>
  </si>
  <si>
    <t>CUST6982</t>
  </si>
  <si>
    <t>ORD00211</t>
  </si>
  <si>
    <t>CUST1277</t>
  </si>
  <si>
    <t>ORD00212</t>
  </si>
  <si>
    <t>2023-09-28</t>
  </si>
  <si>
    <t>CUST4029</t>
  </si>
  <si>
    <t>ORD00213</t>
  </si>
  <si>
    <t>CUST3069</t>
  </si>
  <si>
    <t>ORD00214</t>
  </si>
  <si>
    <t>2023-10-09</t>
  </si>
  <si>
    <t>CUST6388</t>
  </si>
  <si>
    <t>ORD00215</t>
  </si>
  <si>
    <t>2023-08-30</t>
  </si>
  <si>
    <t>CUST2302</t>
  </si>
  <si>
    <t>ORD00216</t>
  </si>
  <si>
    <t>CUST9569</t>
  </si>
  <si>
    <t>ORD00217</t>
  </si>
  <si>
    <t>2023-07-13</t>
  </si>
  <si>
    <t>CUST4579</t>
  </si>
  <si>
    <t>ORD00218</t>
  </si>
  <si>
    <t>2023-05-19</t>
  </si>
  <si>
    <t>CUST6564</t>
  </si>
  <si>
    <t>ORD00219</t>
  </si>
  <si>
    <t>2023-05-18</t>
  </si>
  <si>
    <t>CUST8510</t>
  </si>
  <si>
    <t>ORD00220</t>
  </si>
  <si>
    <t>2023-01-21</t>
  </si>
  <si>
    <t>CUST9364</t>
  </si>
  <si>
    <t>ORD00221</t>
  </si>
  <si>
    <t>2023-04-28</t>
  </si>
  <si>
    <t>CUST7962</t>
  </si>
  <si>
    <t>ORD00222</t>
  </si>
  <si>
    <t>CUST1383</t>
  </si>
  <si>
    <t>ORD00223</t>
  </si>
  <si>
    <t>CUST7332</t>
  </si>
  <si>
    <t>ORD00224</t>
  </si>
  <si>
    <t>CUST2279</t>
  </si>
  <si>
    <t>ORD00225</t>
  </si>
  <si>
    <t>2023-04-26</t>
  </si>
  <si>
    <t>CUST8221</t>
  </si>
  <si>
    <t>ORD00226</t>
  </si>
  <si>
    <t>2023-06-22</t>
  </si>
  <si>
    <t>CUST6145</t>
  </si>
  <si>
    <t>ORD00227</t>
  </si>
  <si>
    <t>2023-12-01</t>
  </si>
  <si>
    <t>CUST6777</t>
  </si>
  <si>
    <t>ORD00228</t>
  </si>
  <si>
    <t>2023-12-13</t>
  </si>
  <si>
    <t>CUST5574</t>
  </si>
  <si>
    <t>ORD00229</t>
  </si>
  <si>
    <t>CUST8503</t>
  </si>
  <si>
    <t>ORD00230</t>
  </si>
  <si>
    <t>CUST6607</t>
  </si>
  <si>
    <t>ORD00231</t>
  </si>
  <si>
    <t>CUST7779</t>
  </si>
  <si>
    <t>ORD00232</t>
  </si>
  <si>
    <t>CUST6346</t>
  </si>
  <si>
    <t>ORD00233</t>
  </si>
  <si>
    <t>CUST3353</t>
  </si>
  <si>
    <t>ORD00234</t>
  </si>
  <si>
    <t>2023-04-30</t>
  </si>
  <si>
    <t>CUST9142</t>
  </si>
  <si>
    <t>ORD00235</t>
  </si>
  <si>
    <t>CUST3194</t>
  </si>
  <si>
    <t>ORD00236</t>
  </si>
  <si>
    <t>2023-09-15</t>
  </si>
  <si>
    <t>CUST7812</t>
  </si>
  <si>
    <t>ORD00237</t>
  </si>
  <si>
    <t>CUST5607</t>
  </si>
  <si>
    <t>ORD00238</t>
  </si>
  <si>
    <t>2023-10-12</t>
  </si>
  <si>
    <t>CUST9137</t>
  </si>
  <si>
    <t>ORD00239</t>
  </si>
  <si>
    <t>CUST8089</t>
  </si>
  <si>
    <t>ORD00240</t>
  </si>
  <si>
    <t>CUST4630</t>
  </si>
  <si>
    <t>ORD00241</t>
  </si>
  <si>
    <t>CUST6463</t>
  </si>
  <si>
    <t>ORD00242</t>
  </si>
  <si>
    <t>CUST3724</t>
  </si>
  <si>
    <t>ORD00243</t>
  </si>
  <si>
    <t>2023-04-23</t>
  </si>
  <si>
    <t>CUST7762</t>
  </si>
  <si>
    <t>ORD00244</t>
  </si>
  <si>
    <t>CUST1515</t>
  </si>
  <si>
    <t>ORD00245</t>
  </si>
  <si>
    <t>CUST1206</t>
  </si>
  <si>
    <t>ORD00246</t>
  </si>
  <si>
    <t>2023-03-28</t>
  </si>
  <si>
    <t>CUST5837</t>
  </si>
  <si>
    <t>ORD00247</t>
  </si>
  <si>
    <t>2023-08-20</t>
  </si>
  <si>
    <t>CUST4718</t>
  </si>
  <si>
    <t>ORD00248</t>
  </si>
  <si>
    <t>2023-03-25</t>
  </si>
  <si>
    <t>CUST6370</t>
  </si>
  <si>
    <t>ORD00249</t>
  </si>
  <si>
    <t>2023-09-16</t>
  </si>
  <si>
    <t>CUST9872</t>
  </si>
  <si>
    <t>ORD00250</t>
  </si>
  <si>
    <t>2023-02-23</t>
  </si>
  <si>
    <t>CUST9814</t>
  </si>
  <si>
    <t>ORD00251</t>
  </si>
  <si>
    <t>CUST7851</t>
  </si>
  <si>
    <t>ORD00252</t>
  </si>
  <si>
    <t>CUST6166</t>
  </si>
  <si>
    <t>ORD00253</t>
  </si>
  <si>
    <t>2023-07-08</t>
  </si>
  <si>
    <t>CUST2312</t>
  </si>
  <si>
    <t>ORD00254</t>
  </si>
  <si>
    <t>2023-08-29</t>
  </si>
  <si>
    <t>CUST8295</t>
  </si>
  <si>
    <t>ORD00255</t>
  </si>
  <si>
    <t>2023-10-03</t>
  </si>
  <si>
    <t>CUST4027</t>
  </si>
  <si>
    <t>ORD00256</t>
  </si>
  <si>
    <t>2023-12-10</t>
  </si>
  <si>
    <t>CUST3537</t>
  </si>
  <si>
    <t>ORD00257</t>
  </si>
  <si>
    <t>2023-06-24</t>
  </si>
  <si>
    <t>CUST2266</t>
  </si>
  <si>
    <t>ORD00258</t>
  </si>
  <si>
    <t>2023-11-26</t>
  </si>
  <si>
    <t>CUST6430</t>
  </si>
  <si>
    <t>ORD00259</t>
  </si>
  <si>
    <t>CUST6579</t>
  </si>
  <si>
    <t>ORD00260</t>
  </si>
  <si>
    <t>2023-04-10</t>
  </si>
  <si>
    <t>CUST4821</t>
  </si>
  <si>
    <t>ORD00261</t>
  </si>
  <si>
    <t>2023-08-22</t>
  </si>
  <si>
    <t>CUST9888</t>
  </si>
  <si>
    <t>ORD00262</t>
  </si>
  <si>
    <t>2023-08-13</t>
  </si>
  <si>
    <t>CUST7918</t>
  </si>
  <si>
    <t>ORD00263</t>
  </si>
  <si>
    <t>2023-06-07</t>
  </si>
  <si>
    <t>CUST2851</t>
  </si>
  <si>
    <t>ORD00264</t>
  </si>
  <si>
    <t>2023-03-23</t>
  </si>
  <si>
    <t>CUST6571</t>
  </si>
  <si>
    <t>ORD00265</t>
  </si>
  <si>
    <t>CUST7835</t>
  </si>
  <si>
    <t>ORD00266</t>
  </si>
  <si>
    <t>CUST4157</t>
  </si>
  <si>
    <t>ORD00267</t>
  </si>
  <si>
    <t>CUST9267</t>
  </si>
  <si>
    <t>ORD00268</t>
  </si>
  <si>
    <t>CUST4426</t>
  </si>
  <si>
    <t>ORD00269</t>
  </si>
  <si>
    <t>2023-09-19</t>
  </si>
  <si>
    <t>CUST4152</t>
  </si>
  <si>
    <t>ORD00270</t>
  </si>
  <si>
    <t>CUST3323</t>
  </si>
  <si>
    <t>ORD00271</t>
  </si>
  <si>
    <t>2023-06-12</t>
  </si>
  <si>
    <t>CUST4514</t>
  </si>
  <si>
    <t>ORD00272</t>
  </si>
  <si>
    <t>2023-11-04</t>
  </si>
  <si>
    <t>CUST8822</t>
  </si>
  <si>
    <t>ORD00273</t>
  </si>
  <si>
    <t>CUST7072</t>
  </si>
  <si>
    <t>ORD00274</t>
  </si>
  <si>
    <t>CUST2707</t>
  </si>
  <si>
    <t>ORD00275</t>
  </si>
  <si>
    <t>CUST3607</t>
  </si>
  <si>
    <t>ORD00276</t>
  </si>
  <si>
    <t>2023-12-30</t>
  </si>
  <si>
    <t>CUST9096</t>
  </si>
  <si>
    <t>ORD00277</t>
  </si>
  <si>
    <t>2023-12-11</t>
  </si>
  <si>
    <t>CUST8477</t>
  </si>
  <si>
    <t>ORD00278</t>
  </si>
  <si>
    <t>CUST9900</t>
  </si>
  <si>
    <t>ORD00279</t>
  </si>
  <si>
    <t>CUST4080</t>
  </si>
  <si>
    <t>ORD00280</t>
  </si>
  <si>
    <t>2023-04-25</t>
  </si>
  <si>
    <t>CUST9151</t>
  </si>
  <si>
    <t>ORD00281</t>
  </si>
  <si>
    <t>2023-09-05</t>
  </si>
  <si>
    <t>CUST7575</t>
  </si>
  <si>
    <t>ORD00282</t>
  </si>
  <si>
    <t>CUST2746</t>
  </si>
  <si>
    <t>ORD00283</t>
  </si>
  <si>
    <t>2023-07-22</t>
  </si>
  <si>
    <t>CUST3935</t>
  </si>
  <si>
    <t>ORD00284</t>
  </si>
  <si>
    <t>CUST1639</t>
  </si>
  <si>
    <t>ORD00285</t>
  </si>
  <si>
    <t>2023-05-08</t>
  </si>
  <si>
    <t>CUST7102</t>
  </si>
  <si>
    <t>ORD00286</t>
  </si>
  <si>
    <t>CUST8425</t>
  </si>
  <si>
    <t>ORD00287</t>
  </si>
  <si>
    <t>CUST2405</t>
  </si>
  <si>
    <t>ORD00288</t>
  </si>
  <si>
    <t>2023-11-29</t>
  </si>
  <si>
    <t>CUST4869</t>
  </si>
  <si>
    <t>ORD00289</t>
  </si>
  <si>
    <t>2023-07-17</t>
  </si>
  <si>
    <t>CUST7819</t>
  </si>
  <si>
    <t>ORD00290</t>
  </si>
  <si>
    <t>2023-03-03</t>
  </si>
  <si>
    <t>CUST7600</t>
  </si>
  <si>
    <t>ORD00291</t>
  </si>
  <si>
    <t>2023-07-15</t>
  </si>
  <si>
    <t>CUST1230</t>
  </si>
  <si>
    <t>ORD00292</t>
  </si>
  <si>
    <t>2023-12-12</t>
  </si>
  <si>
    <t>CUST8814</t>
  </si>
  <si>
    <t>ORD00293</t>
  </si>
  <si>
    <t>ORD00294</t>
  </si>
  <si>
    <t>2023-08-01</t>
  </si>
  <si>
    <t>CUST7726</t>
  </si>
  <si>
    <t>ORD00295</t>
  </si>
  <si>
    <t>2023-04-06</t>
  </si>
  <si>
    <t>CUST4069</t>
  </si>
  <si>
    <t>ORD00296</t>
  </si>
  <si>
    <t>2023-11-24</t>
  </si>
  <si>
    <t>CUST5716</t>
  </si>
  <si>
    <t>ORD00297</t>
  </si>
  <si>
    <t>2023-12-29</t>
  </si>
  <si>
    <t>CUST1173</t>
  </si>
  <si>
    <t>ORD00298</t>
  </si>
  <si>
    <t>CUST2080</t>
  </si>
  <si>
    <t>ORD00299</t>
  </si>
  <si>
    <t>CUST5054</t>
  </si>
  <si>
    <t>ORD00300</t>
  </si>
  <si>
    <t>CUST4118</t>
  </si>
  <si>
    <t>ORD00301</t>
  </si>
  <si>
    <t>2023-07-29</t>
  </si>
  <si>
    <t>CUST4865</t>
  </si>
  <si>
    <t>ORD00302</t>
  </si>
  <si>
    <t>CUST5393</t>
  </si>
  <si>
    <t>ORD00303</t>
  </si>
  <si>
    <t>CUST5372</t>
  </si>
  <si>
    <t>ORD00304</t>
  </si>
  <si>
    <t>2023-02-20</t>
  </si>
  <si>
    <t>CUST8951</t>
  </si>
  <si>
    <t>ORD00305</t>
  </si>
  <si>
    <t>CUST8830</t>
  </si>
  <si>
    <t>ORD00306</t>
  </si>
  <si>
    <t>CUST5257</t>
  </si>
  <si>
    <t>ORD00307</t>
  </si>
  <si>
    <t>CUST7901</t>
  </si>
  <si>
    <t>ORD00308</t>
  </si>
  <si>
    <t>CUST7200</t>
  </si>
  <si>
    <t>ORD00309</t>
  </si>
  <si>
    <t>CUST8800</t>
  </si>
  <si>
    <t>ORD00310</t>
  </si>
  <si>
    <t>2023-05-12</t>
  </si>
  <si>
    <t>CUST2651</t>
  </si>
  <si>
    <t>ORD00311</t>
  </si>
  <si>
    <t>2023-05-11</t>
  </si>
  <si>
    <t>CUST7740</t>
  </si>
  <si>
    <t>ORD00312</t>
  </si>
  <si>
    <t>CUST4539</t>
  </si>
  <si>
    <t>ORD00313</t>
  </si>
  <si>
    <t>CUST4699</t>
  </si>
  <si>
    <t>ORD00314</t>
  </si>
  <si>
    <t>CUST7428</t>
  </si>
  <si>
    <t>ORD00315</t>
  </si>
  <si>
    <t>2023-02-01</t>
  </si>
  <si>
    <t>CUST3691</t>
  </si>
  <si>
    <t>ORD00316</t>
  </si>
  <si>
    <t>CUST4032</t>
  </si>
  <si>
    <t>ORD00317</t>
  </si>
  <si>
    <t>CUST2123</t>
  </si>
  <si>
    <t>ORD00318</t>
  </si>
  <si>
    <t>2023-08-17</t>
  </si>
  <si>
    <t>ORD00319</t>
  </si>
  <si>
    <t>CUST5753</t>
  </si>
  <si>
    <t>ORD00320</t>
  </si>
  <si>
    <t>2023-03-08</t>
  </si>
  <si>
    <t>CUST2204</t>
  </si>
  <si>
    <t>ORD00321</t>
  </si>
  <si>
    <t>2023-08-04</t>
  </si>
  <si>
    <t>CUST1809</t>
  </si>
  <si>
    <t>ORD00322</t>
  </si>
  <si>
    <t>CUST5490</t>
  </si>
  <si>
    <t>ORD00323</t>
  </si>
  <si>
    <t>2023-12-28</t>
  </si>
  <si>
    <t>CUST7895</t>
  </si>
  <si>
    <t>ORD00324</t>
  </si>
  <si>
    <t>CUST7591</t>
  </si>
  <si>
    <t>ORD00325</t>
  </si>
  <si>
    <t>2023-02-25</t>
  </si>
  <si>
    <t>CUST6234</t>
  </si>
  <si>
    <t>ORD00326</t>
  </si>
  <si>
    <t>CUST6387</t>
  </si>
  <si>
    <t>ORD00327</t>
  </si>
  <si>
    <t>CUST2922</t>
  </si>
  <si>
    <t>ORD00328</t>
  </si>
  <si>
    <t>2023-03-10</t>
  </si>
  <si>
    <t>CUST1599</t>
  </si>
  <si>
    <t>ORD00329</t>
  </si>
  <si>
    <t>2023-02-05</t>
  </si>
  <si>
    <t>CUST6413</t>
  </si>
  <si>
    <t>ORD00330</t>
  </si>
  <si>
    <t>2023-10-02</t>
  </si>
  <si>
    <t>CUST7702</t>
  </si>
  <si>
    <t>ORD00331</t>
  </si>
  <si>
    <t>CUST1681</t>
  </si>
  <si>
    <t>ORD00332</t>
  </si>
  <si>
    <t>CUST8724</t>
  </si>
  <si>
    <t>ORD00333</t>
  </si>
  <si>
    <t>CUST9215</t>
  </si>
  <si>
    <t>ORD00334</t>
  </si>
  <si>
    <t>CUST8859</t>
  </si>
  <si>
    <t>ORD00335</t>
  </si>
  <si>
    <t>CUST9973</t>
  </si>
  <si>
    <t>ORD00336</t>
  </si>
  <si>
    <t>CUST2229</t>
  </si>
  <si>
    <t>ORD00337</t>
  </si>
  <si>
    <t>ORD00338</t>
  </si>
  <si>
    <t>2023-05-26</t>
  </si>
  <si>
    <t>CUST9636</t>
  </si>
  <si>
    <t>ORD00339</t>
  </si>
  <si>
    <t>CUST6269</t>
  </si>
  <si>
    <t>ORD00340</t>
  </si>
  <si>
    <t>CUST8939</t>
  </si>
  <si>
    <t>ORD00341</t>
  </si>
  <si>
    <t>CUST5448</t>
  </si>
  <si>
    <t>ORD00342</t>
  </si>
  <si>
    <t>CUST2712</t>
  </si>
  <si>
    <t>ORD00343</t>
  </si>
  <si>
    <t>2023-01-02</t>
  </si>
  <si>
    <t>CUST1272</t>
  </si>
  <si>
    <t>ORD00344</t>
  </si>
  <si>
    <t>CUST4028</t>
  </si>
  <si>
    <t>ORD00345</t>
  </si>
  <si>
    <t>2023-06-30</t>
  </si>
  <si>
    <t>CUST2600</t>
  </si>
  <si>
    <t>ORD00346</t>
  </si>
  <si>
    <t>2023-08-07</t>
  </si>
  <si>
    <t>CUST3882</t>
  </si>
  <si>
    <t>ORD00347</t>
  </si>
  <si>
    <t>2023-06-03</t>
  </si>
  <si>
    <t>CUST4928</t>
  </si>
  <si>
    <t>ORD00348</t>
  </si>
  <si>
    <t>2023-12-03</t>
  </si>
  <si>
    <t>CUST1488</t>
  </si>
  <si>
    <t>ORD00349</t>
  </si>
  <si>
    <t>CUST7386</t>
  </si>
  <si>
    <t>ORD00350</t>
  </si>
  <si>
    <t>2023-03-22</t>
  </si>
  <si>
    <t>CUST3808</t>
  </si>
  <si>
    <t>ORD00351</t>
  </si>
  <si>
    <t>CUST6767</t>
  </si>
  <si>
    <t>ORD00352</t>
  </si>
  <si>
    <t>CUST5877</t>
  </si>
  <si>
    <t>ORD00353</t>
  </si>
  <si>
    <t>CUST8285</t>
  </si>
  <si>
    <t>ORD00354</t>
  </si>
  <si>
    <t>2023-07-21</t>
  </si>
  <si>
    <t>CUST2167</t>
  </si>
  <si>
    <t>ORD00355</t>
  </si>
  <si>
    <t>2023-08-02</t>
  </si>
  <si>
    <t>CUST3368</t>
  </si>
  <si>
    <t>ORD00356</t>
  </si>
  <si>
    <t>2023-04-12</t>
  </si>
  <si>
    <t>CUST1839</t>
  </si>
  <si>
    <t>ORD00357</t>
  </si>
  <si>
    <t>2023-10-30</t>
  </si>
  <si>
    <t>CUST8097</t>
  </si>
  <si>
    <t>ORD00358</t>
  </si>
  <si>
    <t>CUST2140</t>
  </si>
  <si>
    <t>ORD00359</t>
  </si>
  <si>
    <t>2023-10-05</t>
  </si>
  <si>
    <t>CUST2660</t>
  </si>
  <si>
    <t>ORD00360</t>
  </si>
  <si>
    <t>2023-01-14</t>
  </si>
  <si>
    <t>CUST1736</t>
  </si>
  <si>
    <t>ORD00361</t>
  </si>
  <si>
    <t>2023-02-12</t>
  </si>
  <si>
    <t>CUST3275</t>
  </si>
  <si>
    <t>ORD00362</t>
  </si>
  <si>
    <t>CUST3115</t>
  </si>
  <si>
    <t>ORD00363</t>
  </si>
  <si>
    <t>2023-02-19</t>
  </si>
  <si>
    <t>CUST6530</t>
  </si>
  <si>
    <t>ORD00364</t>
  </si>
  <si>
    <t>2023-03-24</t>
  </si>
  <si>
    <t>CUST9851</t>
  </si>
  <si>
    <t>ORD00365</t>
  </si>
  <si>
    <t>2023-11-10</t>
  </si>
  <si>
    <t>CUST8353</t>
  </si>
  <si>
    <t>ORD00366</t>
  </si>
  <si>
    <t>2023-12-20</t>
  </si>
  <si>
    <t>CUST7889</t>
  </si>
  <si>
    <t>ORD00367</t>
  </si>
  <si>
    <t>CUST9333</t>
  </si>
  <si>
    <t>ORD00368</t>
  </si>
  <si>
    <t>CUST4364</t>
  </si>
  <si>
    <t>ORD00369</t>
  </si>
  <si>
    <t>CUST7989</t>
  </si>
  <si>
    <t>ORD00370</t>
  </si>
  <si>
    <t>CUST9646</t>
  </si>
  <si>
    <t>ORD00371</t>
  </si>
  <si>
    <t>CUST2662</t>
  </si>
  <si>
    <t>ORD00372</t>
  </si>
  <si>
    <t>2023-05-02</t>
  </si>
  <si>
    <t>CUST6233</t>
  </si>
  <si>
    <t>ORD00373</t>
  </si>
  <si>
    <t>CUST5453</t>
  </si>
  <si>
    <t>ORD00374</t>
  </si>
  <si>
    <t>CUST9437</t>
  </si>
  <si>
    <t>ORD00375</t>
  </si>
  <si>
    <t>CUST6551</t>
  </si>
  <si>
    <t>ORD00376</t>
  </si>
  <si>
    <t>2023-07-24</t>
  </si>
  <si>
    <t>CUST8227</t>
  </si>
  <si>
    <t>ORD00377</t>
  </si>
  <si>
    <t>CUST8272</t>
  </si>
  <si>
    <t>ORD00378</t>
  </si>
  <si>
    <t>CUST8667</t>
  </si>
  <si>
    <t>ORD00379</t>
  </si>
  <si>
    <t>CUST6328</t>
  </si>
  <si>
    <t>ORD00380</t>
  </si>
  <si>
    <t>CUST2177</t>
  </si>
  <si>
    <t>ORD00381</t>
  </si>
  <si>
    <t>2023-02-24</t>
  </si>
  <si>
    <t>CUST2686</t>
  </si>
  <si>
    <t>ORD00382</t>
  </si>
  <si>
    <t>CUST6610</t>
  </si>
  <si>
    <t>ORD00383</t>
  </si>
  <si>
    <t>2023-03-15</t>
  </si>
  <si>
    <t>CUST2725</t>
  </si>
  <si>
    <t>ORD00384</t>
  </si>
  <si>
    <t>2023-01-13</t>
  </si>
  <si>
    <t>CUST7224</t>
  </si>
  <si>
    <t>ORD00385</t>
  </si>
  <si>
    <t>CUST7820</t>
  </si>
  <si>
    <t>ORD00386</t>
  </si>
  <si>
    <t>2023-11-23</t>
  </si>
  <si>
    <t>ORD00387</t>
  </si>
  <si>
    <t>2023-10-01</t>
  </si>
  <si>
    <t>CUST3592</t>
  </si>
  <si>
    <t>ORD00388</t>
  </si>
  <si>
    <t>CUST6153</t>
  </si>
  <si>
    <t>ORD00389</t>
  </si>
  <si>
    <t>CUST6658</t>
  </si>
  <si>
    <t>ORD00390</t>
  </si>
  <si>
    <t>2023-04-02</t>
  </si>
  <si>
    <t>CUST1759</t>
  </si>
  <si>
    <t>ORD00391</t>
  </si>
  <si>
    <t>CUST8061</t>
  </si>
  <si>
    <t>ORD00392</t>
  </si>
  <si>
    <t>CUST2526</t>
  </si>
  <si>
    <t>ORD00393</t>
  </si>
  <si>
    <t>CUST8703</t>
  </si>
  <si>
    <t>ORD00394</t>
  </si>
  <si>
    <t>ORD00395</t>
  </si>
  <si>
    <t>CUST5457</t>
  </si>
  <si>
    <t>ORD00396</t>
  </si>
  <si>
    <t>CUST5795</t>
  </si>
  <si>
    <t>ORD00397</t>
  </si>
  <si>
    <t>CUST7000</t>
  </si>
  <si>
    <t>ORD00398</t>
  </si>
  <si>
    <t>CUST7322</t>
  </si>
  <si>
    <t>ORD00399</t>
  </si>
  <si>
    <t>CUST7516</t>
  </si>
  <si>
    <t>ORD00400</t>
  </si>
  <si>
    <t>CUST8119</t>
  </si>
  <si>
    <t>ORD00401</t>
  </si>
  <si>
    <t>CUST2774</t>
  </si>
  <si>
    <t>ORD00402</t>
  </si>
  <si>
    <t>CUST2875</t>
  </si>
  <si>
    <t>ORD00403</t>
  </si>
  <si>
    <t>CUST7859</t>
  </si>
  <si>
    <t>ORD00404</t>
  </si>
  <si>
    <t>CUST9004</t>
  </si>
  <si>
    <t>ORD00405</t>
  </si>
  <si>
    <t>CUST2658</t>
  </si>
  <si>
    <t>ORD00406</t>
  </si>
  <si>
    <t>2023-04-14</t>
  </si>
  <si>
    <t>CUST7677</t>
  </si>
  <si>
    <t>ORD00407</t>
  </si>
  <si>
    <t>CUST8400</t>
  </si>
  <si>
    <t>ORD00408</t>
  </si>
  <si>
    <t>2023-08-18</t>
  </si>
  <si>
    <t>CUST1771</t>
  </si>
  <si>
    <t>ORD00409</t>
  </si>
  <si>
    <t>CUST6469</t>
  </si>
  <si>
    <t>ORD00410</t>
  </si>
  <si>
    <t>CUST6594</t>
  </si>
  <si>
    <t>ORD00411</t>
  </si>
  <si>
    <t>CUST9180</t>
  </si>
  <si>
    <t>ORD00412</t>
  </si>
  <si>
    <t>CUST8012</t>
  </si>
  <si>
    <t>ORD00413</t>
  </si>
  <si>
    <t>CUST4749</t>
  </si>
  <si>
    <t>ORD00414</t>
  </si>
  <si>
    <t>CUST6580</t>
  </si>
  <si>
    <t>ORD00415</t>
  </si>
  <si>
    <t>2023-10-06</t>
  </si>
  <si>
    <t>CUST9896</t>
  </si>
  <si>
    <t>ORD00416</t>
  </si>
  <si>
    <t>2023-08-25</t>
  </si>
  <si>
    <t>ORD00417</t>
  </si>
  <si>
    <t>2023-12-05</t>
  </si>
  <si>
    <t>CUST4920</t>
  </si>
  <si>
    <t>ORD00418</t>
  </si>
  <si>
    <t>2023-08-12</t>
  </si>
  <si>
    <t>CUST4636</t>
  </si>
  <si>
    <t>ORD00419</t>
  </si>
  <si>
    <t>CUST6171</t>
  </si>
  <si>
    <t>ORD00420</t>
  </si>
  <si>
    <t>CUST6993</t>
  </si>
  <si>
    <t>ORD00421</t>
  </si>
  <si>
    <t>2023-01-09</t>
  </si>
  <si>
    <t>ORD00422</t>
  </si>
  <si>
    <t>CUST3453</t>
  </si>
  <si>
    <t>ORD00423</t>
  </si>
  <si>
    <t>2023-08-21</t>
  </si>
  <si>
    <t>CUST6518</t>
  </si>
  <si>
    <t>ORD00424</t>
  </si>
  <si>
    <t>2023-06-06</t>
  </si>
  <si>
    <t>CUST3425</t>
  </si>
  <si>
    <t>ORD00425</t>
  </si>
  <si>
    <t>2023-12-22</t>
  </si>
  <si>
    <t>ORD00426</t>
  </si>
  <si>
    <t>CUST5507</t>
  </si>
  <si>
    <t>ORD00427</t>
  </si>
  <si>
    <t>CUST1685</t>
  </si>
  <si>
    <t>ORD00428</t>
  </si>
  <si>
    <t>2023-08-31</t>
  </si>
  <si>
    <t>CUST7296</t>
  </si>
  <si>
    <t>ORD00429</t>
  </si>
  <si>
    <t>CUST2455</t>
  </si>
  <si>
    <t>ORD00430</t>
  </si>
  <si>
    <t>CUST7019</t>
  </si>
  <si>
    <t>ORD00431</t>
  </si>
  <si>
    <t>CUST7994</t>
  </si>
  <si>
    <t>ORD00432</t>
  </si>
  <si>
    <t>2023-03-17</t>
  </si>
  <si>
    <t>CUST2122</t>
  </si>
  <si>
    <t>ORD00433</t>
  </si>
  <si>
    <t>CUST8054</t>
  </si>
  <si>
    <t>ORD00434</t>
  </si>
  <si>
    <t>CUST9570</t>
  </si>
  <si>
    <t>ORD00435</t>
  </si>
  <si>
    <t>CUST1558</t>
  </si>
  <si>
    <t>ORD00436</t>
  </si>
  <si>
    <t>2023-09-22</t>
  </si>
  <si>
    <t>CUST8493</t>
  </si>
  <si>
    <t>ORD00437</t>
  </si>
  <si>
    <t>CUST2450</t>
  </si>
  <si>
    <t>ORD00438</t>
  </si>
  <si>
    <t>2023-06-08</t>
  </si>
  <si>
    <t>CUST8605</t>
  </si>
  <si>
    <t>ORD00439</t>
  </si>
  <si>
    <t>CUST8094</t>
  </si>
  <si>
    <t>ORD00440</t>
  </si>
  <si>
    <t>CUST7805</t>
  </si>
  <si>
    <t>ORD00441</t>
  </si>
  <si>
    <t>CUST9932</t>
  </si>
  <si>
    <t>ORD00442</t>
  </si>
  <si>
    <t>CUST7999</t>
  </si>
  <si>
    <t>ORD00443</t>
  </si>
  <si>
    <t>2023-05-24</t>
  </si>
  <si>
    <t>CUST4285</t>
  </si>
  <si>
    <t>ORD00444</t>
  </si>
  <si>
    <t>CUST4150</t>
  </si>
  <si>
    <t>ORD00445</t>
  </si>
  <si>
    <t>2023-11-05</t>
  </si>
  <si>
    <t>CUST4259</t>
  </si>
  <si>
    <t>ORD00446</t>
  </si>
  <si>
    <t>CUST3618</t>
  </si>
  <si>
    <t>ORD00447</t>
  </si>
  <si>
    <t>CUST1407</t>
  </si>
  <si>
    <t>ORD00448</t>
  </si>
  <si>
    <t>2023-02-27</t>
  </si>
  <si>
    <t>CUST4876</t>
  </si>
  <si>
    <t>ORD00449</t>
  </si>
  <si>
    <t>CUST4450</t>
  </si>
  <si>
    <t>ORD00450</t>
  </si>
  <si>
    <t>CUST4044</t>
  </si>
  <si>
    <t>Column1</t>
  </si>
  <si>
    <t>Mean</t>
  </si>
  <si>
    <t>Standard Error</t>
  </si>
  <si>
    <t>Median</t>
  </si>
  <si>
    <t>Mode</t>
  </si>
  <si>
    <t>Standard Deviation</t>
  </si>
  <si>
    <t>Sample Variance</t>
  </si>
  <si>
    <t>Kurtosis</t>
  </si>
  <si>
    <t>Skewness</t>
  </si>
  <si>
    <t>Range</t>
  </si>
  <si>
    <t>Minimum</t>
  </si>
  <si>
    <t>Maximum</t>
  </si>
  <si>
    <t>Sum</t>
  </si>
  <si>
    <t>Count</t>
  </si>
  <si>
    <t>Column2</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</si>
  <si>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</si>
  <si>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</si>
  <si>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</si>
  <si>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</si>
  <si>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</si>
  <si>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</si>
  <si>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</si>
  <si>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</si>
  <si>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</si>
  <si>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</si>
  <si>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</si>
  <si>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</si>
  <si>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</si>
  <si>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</si>
  <si>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</si>
  <si>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</si>
  <si>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</si>
  <si>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</si>
  <si>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</si>
  <si>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</si>
  <si>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</si>
  <si>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</si>
  <si>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</si>
  <si>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</si>
  <si>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Sum of Total_Sales</t>
  </si>
  <si>
    <t>Row Labels</t>
  </si>
  <si>
    <t>Grand Total</t>
  </si>
  <si>
    <t>Sum of Unit_Price</t>
  </si>
  <si>
    <t>Count of Product</t>
  </si>
  <si>
    <t>Sum of Quantity</t>
  </si>
  <si>
    <t>DASHBOARD - Sale_Project_Data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</si>
</sst>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color theme="1"/>
      <name val="Calibri"/>
      <family val="2"/>
      <scheme val="minor"/>
    </font>
    <font>
      <sz val="36"/>
      <color theme="3" tint="-0.499984740745262"/>
      <name val="Calibri"/>
      <family val="2"/>
      <scheme val="minor"/>
    </font>
    <font>
      <b/>
      <sz val="26"/>
      <color theme="3" tint="-0.499984740745262"/>
      <name val="Calibri"/>
      <family val="2"/>
      <scheme val="minor"/>
    </font>
    <font>
      <b/>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39997558519241921"/>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1" fillId="0" borderId="2" xfId="0" applyFont="1" applyFill="1" applyBorder="1" applyAlignment="1">
      <alignment horizontal="centerContinuous"/>
    </xf>
    <xf numFmtId="0" fontId="1" fillId="0" borderId="3" xfId="0" applyFont="1" applyFill="1" applyBorder="1" applyAlignment="1">
      <alignment horizontal="centerContinuous"/>
    </xf>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ont="1" applyFill="1"/>
    <xf numFmtId="0" fontId="2" fillId="2" borderId="0" xfId="0" applyFont="1" applyFill="1"/>
    <xf numFmtId="0" fontId="3" fillId="2" borderId="0" xfId="0" applyFont="1" applyFill="1"/>
    <xf numFmtId="0" fontId="4" fillId="3" borderId="0" xfId="0" applyFont="1" applyFill="1"/>
    <xf numFmtId="0" fontId="0" fillId="3" borderId="0" xfId="0" applyFill="1"/>
  </cellXfs>
  <cellStyles count="1">
    <cellStyle name="Normal" xfId="0" builtinId="0"/>
  </cellStyles>
  <dxfs count="6">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[Project_Dataset.xlsx]OBJ1!PivotTable2</c:name>
    <c:fmtId val="11"/>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US">
                <a:solidFill>
                  <a:schemeClr val="tx2">
                    <a:lumMod val="75000"/>
                  </a:schemeClr>
                </a:solidFill>
                <a:latin typeface="Avenir Next LT Pro Demi" panose="020F0502020204030204" pitchFamily="34" charset="0"/>
              </a:rPr>
              <a:t>Sum of Unit Price By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'OBJ1'!$B$3</c:f>
              <c:strCache>
                <c:ptCount val="1"/>
                <c:pt idx="0">
                  <c:v>Total</c:v>
                </c:pt>
              </c:strCache>
            </c:strRef>
          </c:tx>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'OBJ1'!$A$4:$A$9</c:f>
              <c:strCache>
                <c:ptCount val="5"/>
                <c:pt idx="0">
                  <c:v>Aarav</c:v>
                </c:pt>
                <c:pt idx="1">
                  <c:v>Diya</c:v>
                </c:pt>
                <c:pt idx="2">
                  <c:v>Neha</c:v>
                </c:pt>
                <c:pt idx="3">
                  <c:v>Pooja</c:v>
                </c:pt>
                <c:pt idx="4">
                  <c:v>Vikram</c:v>
                </c:pt>
              </c:strCache>
            </c:strRef>
          </c:cat>
          <c:val>
            <c:numRef>
              <c:f>'OBJ1'!$B$4:$B$9</c:f>
              <c:numCache>
                <c:formatCode>General</c:formatCode>
                <c:ptCount val="5"/>
                <c:pt idx="0">
                  <c:v>15260</c:v>
                </c:pt>
                <c:pt idx="1">
                  <c:v>20110</c:v>
                </c:pt>
                <c:pt idx="2">
                  <c:v>15750</c:v>
                </c:pt>
                <c:pt idx="3">
                  <c:v>15920</c:v>
                </c:pt>
                <c:pt idx="4">
                  <c:v>17740</c:v>
                </c:pt>
              </c:numCache>
            </c:numRef>
          </c:val>
          <c:extLst>
            <c:ext xmlns:c16="http://schemas.microsoft.com/office/drawing/2014/chart" uri="{C3380CC4-5D6E-409C-BE32-E72D297353CC}">
              <c16:uniqueId val="{00000000-931C-4A4F-ABC1-DB6BF30AB118}"/>
            </c:ext>
          </c:extLst>
        </c:ser>
        <c:dLbls>
          <c:showLegendKey val="0"/>
          <c:showVal val="1"/>
          <c:showCatName val="0"/>
          <c:showSerName val="0"/>
          <c:showPercent val="0"/>
          <c:showBubbleSize val="0"/>
        </c:dLbls>
        <c:gapWidth val="150"/>
        <c:shape val="box"/>
        <c:axId val="879643647"/>
        <c:axId val="879640767"/>
        <c:axId val="0"/>
      </c:bar3DChart>
      <c:catAx>
        <c:axId val="879643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0767"/>
        <c:crosses val="autoZero"/>
        <c:auto val="1"/>
        <c:lblAlgn val="ctr"/>
        <c:lblOffset val="100"/>
        <c:noMultiLvlLbl val="0"/>
      </c:catAx>
      <c:valAx>
        <c:axId val="87964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[Project_Dataset.xlsx]OBJ2!PivotTable3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Product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tint val="50000"/>
                  <a:shade val="51000"/>
                  <a:satMod val="130000"/>
                </a:schemeClr>
              </a:gs>
              <a:gs pos="80000">
                <a:schemeClr val="accent1">
                  <a:tint val="50000"/>
                  <a:shade val="93000"/>
                  <a:satMod val="130000"/>
                </a:schemeClr>
              </a:gs>
              <a:gs pos="100000">
                <a:schemeClr val="accent1">
                  <a:tint val="50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'OBJ2'!$B$3</c:f>
              <c:strCache>
                <c:ptCount val="1"/>
                <c:pt idx="0">
                  <c:v>Total</c:v>
                </c:pt>
              </c:strCache>
            </c:strRef>
          </c:tx>
          <c:dPt>
            <c:idx val="0"/>
            <c:bubble3D val="0"/>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2032-4B81-A28C-ED0534C3A502}"/>
              </c:ext>
            </c:extLst>
          </c:dPt>
          <c:dPt>
            <c:idx val="1"/>
            <c:bubble3D val="0"/>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032-4B81-A28C-ED0534C3A502}"/>
              </c:ext>
            </c:extLst>
          </c:dPt>
          <c:dPt>
            <c:idx val="2"/>
            <c:bubble3D val="0"/>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2032-4B81-A28C-ED0534C3A502}"/>
              </c:ext>
            </c:extLst>
          </c:dPt>
          <c:dPt>
            <c:idx val="3"/>
            <c:bubble3D val="0"/>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032-4B81-A28C-ED0534C3A502}"/>
              </c:ext>
            </c:extLst>
          </c:dPt>
          <c:dPt>
            <c:idx val="4"/>
            <c:bubble3D val="0"/>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2032-4B81-A28C-ED0534C3A502}"/>
              </c:ext>
            </c:extLst>
          </c:dPt>
          <c:dPt>
            <c:idx val="5"/>
            <c:bubble3D val="0"/>
            <c:spPr>
              <a:gradFill rotWithShape="1">
                <a:gsLst>
                  <a:gs pos="0">
                    <a:schemeClr val="accent1">
                      <a:tint val="50000"/>
                      <a:shade val="51000"/>
                      <a:satMod val="130000"/>
                    </a:schemeClr>
                  </a:gs>
                  <a:gs pos="80000">
                    <a:schemeClr val="accent1">
                      <a:tint val="50000"/>
                      <a:shade val="93000"/>
                      <a:satMod val="130000"/>
                    </a:schemeClr>
                  </a:gs>
                  <a:gs pos="100000">
                    <a:schemeClr val="accent1">
                      <a:tint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032-4B81-A28C-ED0534C3A5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'OBJ2'!$A$4:$A$10</c:f>
              <c:strCache>
                <c:ptCount val="6"/>
                <c:pt idx="0">
                  <c:v>Bangalore</c:v>
                </c:pt>
                <c:pt idx="1">
                  <c:v>Chennai</c:v>
                </c:pt>
                <c:pt idx="2">
                  <c:v>Delhi</c:v>
                </c:pt>
                <c:pt idx="3">
                  <c:v>Hyderabad</c:v>
                </c:pt>
                <c:pt idx="4">
                  <c:v>Mumbai</c:v>
                </c:pt>
                <c:pt idx="5">
                  <c:v>Pune</c:v>
                </c:pt>
              </c:strCache>
            </c:strRef>
          </c:cat>
          <c:val>
            <c:numRef>
              <c:f>'OBJ2'!$B$4:$B$10</c:f>
              <c:numCache>
                <c:formatCode>General</c:formatCode>
                <c:ptCount val="6"/>
                <c:pt idx="0">
                  <c:v>77</c:v>
                </c:pt>
                <c:pt idx="1">
                  <c:v>69</c:v>
                </c:pt>
                <c:pt idx="2">
                  <c:v>81</c:v>
                </c:pt>
                <c:pt idx="3">
                  <c:v>59</c:v>
                </c:pt>
                <c:pt idx="4">
                  <c:v>80</c:v>
                </c:pt>
                <c:pt idx="5">
                  <c:v>84</c:v>
                </c:pt>
              </c:numCache>
            </c:numRef>
          </c:val>
          <c:extLst>
            <c:ext xmlns:c16="http://schemas.microsoft.com/office/drawing/2014/chart" uri="{C3380CC4-5D6E-409C-BE32-E72D297353CC}">
              <c16:uniqueId val="{00000000-2032-4B81-A28C-ED0534C3A5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Total Sale By Product</a:t>
            </a:r>
          </a:p>
        </c:rich>
      </c:tx>
      <c:overlay val="0"/>
      <c:spPr>
        <a:noFill/>
        <a:ln>
          <a:solidFill>
            <a:schemeClr val="tx2">
              <a:lumMod val="5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'OBJ3'!$B$3</c:f>
              <c:strCache>
                <c:ptCount val="1"/>
                <c:pt idx="0">
                  <c:v>Total</c:v>
                </c:pt>
              </c:strCache>
            </c:strRef>
          </c:tx>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cat>
            <c:strRef>
              <c:f>'OBJ3'!$A$4:$A$10</c:f>
              <c:strCache>
                <c:ptCount val="6"/>
                <c:pt idx="0">
                  <c:v>Desk</c:v>
                </c:pt>
                <c:pt idx="1">
                  <c:v>Headphones</c:v>
                </c:pt>
                <c:pt idx="2">
                  <c:v>Laptop</c:v>
                </c:pt>
                <c:pt idx="3">
                  <c:v>Mobile Phone</c:v>
                </c:pt>
                <c:pt idx="4">
                  <c:v>Office Chair</c:v>
                </c:pt>
                <c:pt idx="5">
                  <c:v>Tablet</c:v>
                </c:pt>
              </c:strCache>
            </c:strRef>
          </c:cat>
          <c:val>
            <c:numRef>
              <c:f>'OBJ3'!$B$4:$B$10</c:f>
              <c:numCache>
                <c:formatCode>General</c:formatCode>
                <c:ptCount val="6"/>
                <c:pt idx="0">
                  <c:v>93900</c:v>
                </c:pt>
                <c:pt idx="1">
                  <c:v>21330</c:v>
                </c:pt>
                <c:pt idx="2">
                  <c:v>201000</c:v>
                </c:pt>
                <c:pt idx="3">
                  <c:v>131450</c:v>
                </c:pt>
                <c:pt idx="4">
                  <c:v>36450</c:v>
                </c:pt>
                <c:pt idx="5">
                  <c:v>98400</c:v>
                </c:pt>
              </c:numCache>
            </c:numRef>
          </c:val>
          <c:smooth val="0"/>
          <c:extLst>
            <c:ext xmlns:c16="http://schemas.microsoft.com/office/drawing/2014/chart" uri="{C3380CC4-5D6E-409C-BE32-E72D297353CC}">
              <c16:uniqueId val="{00000000-181D-4ED3-9B70-67481DFC53EB}"/>
            </c:ext>
          </c:extLst>
        </c:ser>
        <c:dLbls>
          <c:showLegendKey val="0"/>
          <c:showVal val="0"/>
          <c:showCatName val="0"/>
          <c:showSerName val="0"/>
          <c:showPercent val="0"/>
          <c:showBubbleSize val="0"/>
        </c:dLbls>
        <c:marker val="1"/>
        <c:smooth val="0"/>
        <c:axId val="128857951"/>
        <c:axId val="128852191"/>
      </c:lineChart>
      <c:catAx>
        <c:axId val="128857951"/>
        <c:scaling>
          <c:orientation val="minMax"/>
        </c:scaling>
        <c:delete val="0"/>
        <c:axPos val="b"/>
        <c:numFmt formatCode="General" sourceLinked="1"/>
        <c:majorTickMark val="none"/>
        <c:minorTickMark val="none"/>
        <c:tickLblPos val="nextTo"/>
        <c:spPr>
          <a:noFill/>
          <a:ln w="6350" cap="flat" cmpd="sng" algn="ctr">
            <a:solidFill>
              <a:schemeClr val="tx2"/>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2191"/>
        <c:crosses val="autoZero"/>
        <c:auto val="1"/>
        <c:lblAlgn val="ctr"/>
        <c:lblOffset val="100"/>
        <c:noMultiLvlLbl val="0"/>
      </c:catAx>
      <c:valAx>
        <c:axId val="128852191"/>
        <c:scaling>
          <c:orientation val="minMax"/>
        </c:scaling>
        <c:delete val="0"/>
        <c:axPos val="l"/>
        <c:numFmt formatCode="General" sourceLinked="1"/>
        <c:majorTickMark val="none"/>
        <c:minorTickMark val="none"/>
        <c:tickLblPos val="nextTo"/>
        <c:spPr>
          <a:noFill/>
          <a:ln w="6350">
            <a:solidFill>
              <a:schemeClr val="tx2">
                <a:lumMod val="50000"/>
              </a:schemeClr>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79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[Project_Dataset.xlsx]OBJ4!PivotTable5</c:name>
    <c:fmtId val="14"/>
  </c:pivotSource>
  <c:chart>
    <c:title>
      <c:tx>
        <c:rich>
          <a:bodyPr rot="0" spcFirstLastPara="1" vertOverflow="ellipsis" vert="horz" wrap="square" anchor="ctr" anchorCtr="1"/>
          <a:lstStyle/>
          <a:p>
            <a:pPr>
              <a:defRPr sz="1600" b="1" i="0" u="none" strike="noStrike" kern="1200" cap="all" baseline="0">
                <a:solidFill>
                  <a:schemeClr val="tx2">
                    <a:lumMod val="50000"/>
                  </a:schemeClr>
                </a:solidFill>
                <a:latin typeface="+mn-lt"/>
                <a:ea typeface="+mn-ea"/>
                <a:cs typeface="+mn-cs"/>
              </a:defRPr>
            </a:pPr>
            <a:r>
              <a:rPr lang="en-US">
                <a:solidFill>
                  <a:schemeClr val="tx2">
                    <a:lumMod val="50000"/>
                  </a:schemeClr>
                </a:solidFill>
              </a:rPr>
              <a:t>category</a:t>
            </a:r>
            <a:r>
              <a:rPr lang="en-US" baseline="0">
                <a:solidFill>
                  <a:schemeClr val="tx2">
                    <a:lumMod val="50000"/>
                  </a:schemeClr>
                </a:solidFill>
              </a:rPr>
              <a:t> vs SUM</a:t>
            </a:r>
            <a:endParaRPr lang="en-US">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'OBJ4'!$B$3</c:f>
              <c:strCache>
                <c:ptCount val="1"/>
                <c:pt idx="0">
                  <c:v>Total</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27F-47EB-8F19-F051FF740902}"/>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27F-47EB-8F19-F051FF740902}"/>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27F-47EB-8F19-F051FF74090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'OBJ4'!$A$4:$A$7</c:f>
              <c:strCache>
                <c:ptCount val="3"/>
                <c:pt idx="0">
                  <c:v>Accessories</c:v>
                </c:pt>
                <c:pt idx="1">
                  <c:v>Electronics</c:v>
                </c:pt>
                <c:pt idx="2">
                  <c:v>Furniture</c:v>
                </c:pt>
              </c:strCache>
            </c:strRef>
          </c:cat>
          <c:val>
            <c:numRef>
              <c:f>'OBJ4'!$B$4:$B$7</c:f>
              <c:numCache>
                <c:formatCode>General</c:formatCode>
                <c:ptCount val="3"/>
                <c:pt idx="0">
                  <c:v>237</c:v>
                </c:pt>
                <c:pt idx="1">
                  <c:v>753</c:v>
                </c:pt>
                <c:pt idx="2">
                  <c:v>556</c:v>
                </c:pt>
              </c:numCache>
            </c:numRef>
          </c:val>
          <c:extLst>
            <c:ext xmlns:c16="http://schemas.microsoft.com/office/drawing/2014/chart" uri="{C3380CC4-5D6E-409C-BE32-E72D297353CC}">
              <c16:uniqueId val="{00000000-627F-47EB-8F19-F051FF74090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[Project_Dataset.xlsx]OBJ5!PivotTable6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'OBJ5'!$B$3</c:f>
              <c:strCache>
                <c:ptCount val="1"/>
                <c:pt idx="0">
                  <c:v>Total</c:v>
                </c:pt>
              </c:strCache>
            </c:strRef>
          </c:tx>
          <c:spPr>
            <a:solidFill>
              <a:schemeClr val="accent1">
                <a:lumMod val="75000"/>
              </a:schemeClr>
            </a:solidFill>
            <a:ln>
              <a:noFill/>
            </a:ln>
            <a:effectLst/>
            <a:sp3d/>
          </c:spPr>
          <c:invertIfNegative val="0"/>
          <c:cat>
            <c:strRef>
              <c:f>'OBJ5'!$A$4:$A$9</c:f>
              <c:strCache>
                <c:ptCount val="5"/>
                <c:pt idx="0">
                  <c:v>Cash</c:v>
                </c:pt>
                <c:pt idx="1">
                  <c:v>Credit Card</c:v>
                </c:pt>
                <c:pt idx="2">
                  <c:v>Debit Card</c:v>
                </c:pt>
                <c:pt idx="3">
                  <c:v>Net Banking</c:v>
                </c:pt>
                <c:pt idx="4">
                  <c:v>UPI</c:v>
                </c:pt>
              </c:strCache>
            </c:strRef>
          </c:cat>
          <c:val>
            <c:numRef>
              <c:f>'OBJ5'!$B$4:$B$9</c:f>
              <c:numCache>
                <c:formatCode>General</c:formatCode>
                <c:ptCount val="5"/>
                <c:pt idx="0">
                  <c:v>90</c:v>
                </c:pt>
                <c:pt idx="1">
                  <c:v>93</c:v>
                </c:pt>
                <c:pt idx="2">
                  <c:v>85</c:v>
                </c:pt>
                <c:pt idx="3">
                  <c:v>95</c:v>
                </c:pt>
                <c:pt idx="4">
                  <c:v>87</c:v>
                </c:pt>
              </c:numCache>
            </c:numRef>
          </c:val>
          <c:extLst>
            <c:ext xmlns:c16="http://schemas.microsoft.com/office/drawing/2014/chart" uri="{C3380CC4-5D6E-409C-BE32-E72D297353CC}">
              <c16:uniqueId val="{00000000-7900-4D86-8957-B2ED9B6B0D75}"/>
            </c:ext>
          </c:extLst>
        </c:ser>
        <c:dLbls>
          <c:showLegendKey val="0"/>
          <c:showVal val="0"/>
          <c:showCatName val="0"/>
          <c:showSerName val="0"/>
          <c:showPercent val="0"/>
          <c:showBubbleSize val="0"/>
        </c:dLbls>
        <c:gapWidth val="150"/>
        <c:shape val="box"/>
        <c:axId val="1108541647"/>
        <c:axId val="1108542127"/>
        <c:axId val="0"/>
      </c:bar3DChart>
      <c:catAx>
        <c:axId val="1108541647"/>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08542127"/>
        <c:crosses val="autoZero"/>
        <c:auto val="1"/>
        <c:lblAlgn val="ctr"/>
        <c:lblOffset val="100"/>
        <c:noMultiLvlLbl val="0"/>
      </c:catAx>
      <c:valAx>
        <c:axId val="1108542127"/>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10854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[Project_Dataset.xlsx]OBJ1!PivotTable2</c:name>
    <c:fmtId val="22"/>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US">
                <a:solidFill>
                  <a:schemeClr val="tx2">
                    <a:lumMod val="75000"/>
                  </a:schemeClr>
                </a:solidFill>
                <a:latin typeface="Avenir Next LT Pro Demi" panose="020F0502020204030204" pitchFamily="34" charset="0"/>
              </a:rPr>
              <a:t>Sum of Unit Price By Customer</a:t>
            </a:r>
          </a:p>
        </c:rich>
      </c:tx>
      <c:layout>
        <c:manualLayout>
          <c:xMode val="edge"/>
          <c:yMode val="edge"/>
          <c:x val="0.16365801432212576"/>
          <c:y val="2.29633484711300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'OBJ1'!$B$3</c:f>
              <c:strCache>
                <c:ptCount val="1"/>
                <c:pt idx="0">
                  <c:v>Total</c:v>
                </c:pt>
              </c:strCache>
            </c:strRef>
          </c:tx>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'OBJ1'!$A$4:$A$9</c:f>
              <c:strCache>
                <c:ptCount val="5"/>
                <c:pt idx="0">
                  <c:v>Aarav</c:v>
                </c:pt>
                <c:pt idx="1">
                  <c:v>Diya</c:v>
                </c:pt>
                <c:pt idx="2">
                  <c:v>Neha</c:v>
                </c:pt>
                <c:pt idx="3">
                  <c:v>Pooja</c:v>
                </c:pt>
                <c:pt idx="4">
                  <c:v>Vikram</c:v>
                </c:pt>
              </c:strCache>
            </c:strRef>
          </c:cat>
          <c:val>
            <c:numRef>
              <c:f>'OBJ1'!$B$4:$B$9</c:f>
              <c:numCache>
                <c:formatCode>General</c:formatCode>
                <c:ptCount val="5"/>
                <c:pt idx="0">
                  <c:v>15260</c:v>
                </c:pt>
                <c:pt idx="1">
                  <c:v>20110</c:v>
                </c:pt>
                <c:pt idx="2">
                  <c:v>15750</c:v>
                </c:pt>
                <c:pt idx="3">
                  <c:v>15920</c:v>
                </c:pt>
                <c:pt idx="4">
                  <c:v>17740</c:v>
                </c:pt>
              </c:numCache>
            </c:numRef>
          </c:val>
          <c:extLst>
            <c:ext xmlns:c16="http://schemas.microsoft.com/office/drawing/2014/chart" uri="{C3380CC4-5D6E-409C-BE32-E72D297353CC}">
              <c16:uniqueId val="{00000000-0F6F-4189-B427-747265D41D36}"/>
            </c:ext>
          </c:extLst>
        </c:ser>
        <c:dLbls>
          <c:showLegendKey val="0"/>
          <c:showVal val="1"/>
          <c:showCatName val="0"/>
          <c:showSerName val="0"/>
          <c:showPercent val="0"/>
          <c:showBubbleSize val="0"/>
        </c:dLbls>
        <c:gapWidth val="150"/>
        <c:shape val="box"/>
        <c:axId val="879643647"/>
        <c:axId val="879640767"/>
        <c:axId val="0"/>
      </c:bar3DChart>
      <c:catAx>
        <c:axId val="879643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0767"/>
        <c:crosses val="autoZero"/>
        <c:auto val="1"/>
        <c:lblAlgn val="ctr"/>
        <c:lblOffset val="100"/>
        <c:noMultiLvlLbl val="0"/>
      </c:catAx>
      <c:valAx>
        <c:axId val="87964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[Project_Dataset.xlsx]OBJ2!PivotTable3</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Product By City</a:t>
            </a:r>
          </a:p>
        </c:rich>
      </c:tx>
      <c:layout>
        <c:manualLayout>
          <c:xMode val="edge"/>
          <c:yMode val="edge"/>
          <c:x val="0.21907959854374273"/>
          <c:y val="3.9833496829306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tint val="50000"/>
                  <a:shade val="51000"/>
                  <a:satMod val="130000"/>
                </a:schemeClr>
              </a:gs>
              <a:gs pos="80000">
                <a:schemeClr val="accent1">
                  <a:tint val="50000"/>
                  <a:shade val="93000"/>
                  <a:satMod val="130000"/>
                </a:schemeClr>
              </a:gs>
              <a:gs pos="100000">
                <a:schemeClr val="accent1">
                  <a:tint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'OBJ2'!$B$3</c:f>
              <c:strCache>
                <c:ptCount val="1"/>
                <c:pt idx="0">
                  <c:v>Total</c:v>
                </c:pt>
              </c:strCache>
            </c:strRef>
          </c:tx>
          <c:dPt>
            <c:idx val="0"/>
            <c:bubble3D val="0"/>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A8F-4AB7-B167-8A7B8121A792}"/>
              </c:ext>
            </c:extLst>
          </c:dPt>
          <c:dPt>
            <c:idx val="1"/>
            <c:bubble3D val="0"/>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A8F-4AB7-B167-8A7B8121A792}"/>
              </c:ext>
            </c:extLst>
          </c:dPt>
          <c:dPt>
            <c:idx val="2"/>
            <c:bubble3D val="0"/>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A8F-4AB7-B167-8A7B8121A792}"/>
              </c:ext>
            </c:extLst>
          </c:dPt>
          <c:dPt>
            <c:idx val="3"/>
            <c:bubble3D val="0"/>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A8F-4AB7-B167-8A7B8121A792}"/>
              </c:ext>
            </c:extLst>
          </c:dPt>
          <c:dPt>
            <c:idx val="4"/>
            <c:bubble3D val="0"/>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3A8F-4AB7-B167-8A7B8121A792}"/>
              </c:ext>
            </c:extLst>
          </c:dPt>
          <c:dPt>
            <c:idx val="5"/>
            <c:bubble3D val="0"/>
            <c:spPr>
              <a:gradFill rotWithShape="1">
                <a:gsLst>
                  <a:gs pos="0">
                    <a:schemeClr val="accent1">
                      <a:tint val="50000"/>
                      <a:shade val="51000"/>
                      <a:satMod val="130000"/>
                    </a:schemeClr>
                  </a:gs>
                  <a:gs pos="80000">
                    <a:schemeClr val="accent1">
                      <a:tint val="50000"/>
                      <a:shade val="93000"/>
                      <a:satMod val="130000"/>
                    </a:schemeClr>
                  </a:gs>
                  <a:gs pos="100000">
                    <a:schemeClr val="accent1">
                      <a:tint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3A8F-4AB7-B167-8A7B8121A7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'OBJ2'!$A$4:$A$10</c:f>
              <c:strCache>
                <c:ptCount val="6"/>
                <c:pt idx="0">
                  <c:v>Bangalore</c:v>
                </c:pt>
                <c:pt idx="1">
                  <c:v>Chennai</c:v>
                </c:pt>
                <c:pt idx="2">
                  <c:v>Delhi</c:v>
                </c:pt>
                <c:pt idx="3">
                  <c:v>Hyderabad</c:v>
                </c:pt>
                <c:pt idx="4">
                  <c:v>Mumbai</c:v>
                </c:pt>
                <c:pt idx="5">
                  <c:v>Pune</c:v>
                </c:pt>
              </c:strCache>
            </c:strRef>
          </c:cat>
          <c:val>
            <c:numRef>
              <c:f>'OBJ2'!$B$4:$B$10</c:f>
              <c:numCache>
                <c:formatCode>General</c:formatCode>
                <c:ptCount val="6"/>
                <c:pt idx="0">
                  <c:v>77</c:v>
                </c:pt>
                <c:pt idx="1">
                  <c:v>69</c:v>
                </c:pt>
                <c:pt idx="2">
                  <c:v>81</c:v>
                </c:pt>
                <c:pt idx="3">
                  <c:v>59</c:v>
                </c:pt>
                <c:pt idx="4">
                  <c:v>80</c:v>
                </c:pt>
                <c:pt idx="5">
                  <c:v>84</c:v>
                </c:pt>
              </c:numCache>
            </c:numRef>
          </c:val>
          <c:extLst>
            <c:ext xmlns:c16="http://schemas.microsoft.com/office/drawing/2014/chart" uri="{C3380CC4-5D6E-409C-BE32-E72D297353CC}">
              <c16:uniqueId val="{0000000C-3A8F-4AB7-B167-8A7B8121A79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Total Sale By Product</a:t>
            </a:r>
          </a:p>
        </c:rich>
      </c:tx>
      <c:layout>
        <c:manualLayout>
          <c:xMode val="edge"/>
          <c:yMode val="edge"/>
          <c:x val="0.33293317968921476"/>
          <c:y val="5.2086991063648121E-2"/>
        </c:manualLayout>
      </c:layout>
      <c:overlay val="0"/>
      <c:spPr>
        <a:noFill/>
        <a:ln>
          <a:solidFill>
            <a:schemeClr val="tx2">
              <a:lumMod val="5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'OBJ3'!$B$3</c:f>
              <c:strCache>
                <c:ptCount val="1"/>
                <c:pt idx="0">
                  <c:v>Total</c:v>
                </c:pt>
              </c:strCache>
            </c:strRef>
          </c:tx>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cat>
            <c:strRef>
              <c:f>'OBJ3'!$A$4:$A$10</c:f>
              <c:strCache>
                <c:ptCount val="6"/>
                <c:pt idx="0">
                  <c:v>Desk</c:v>
                </c:pt>
                <c:pt idx="1">
                  <c:v>Headphones</c:v>
                </c:pt>
                <c:pt idx="2">
                  <c:v>Laptop</c:v>
                </c:pt>
                <c:pt idx="3">
                  <c:v>Mobile Phone</c:v>
                </c:pt>
                <c:pt idx="4">
                  <c:v>Office Chair</c:v>
                </c:pt>
                <c:pt idx="5">
                  <c:v>Tablet</c:v>
                </c:pt>
              </c:strCache>
            </c:strRef>
          </c:cat>
          <c:val>
            <c:numRef>
              <c:f>'OBJ3'!$B$4:$B$10</c:f>
              <c:numCache>
                <c:formatCode>General</c:formatCode>
                <c:ptCount val="6"/>
                <c:pt idx="0">
                  <c:v>93900</c:v>
                </c:pt>
                <c:pt idx="1">
                  <c:v>21330</c:v>
                </c:pt>
                <c:pt idx="2">
                  <c:v>201000</c:v>
                </c:pt>
                <c:pt idx="3">
                  <c:v>131450</c:v>
                </c:pt>
                <c:pt idx="4">
                  <c:v>36450</c:v>
                </c:pt>
                <c:pt idx="5">
                  <c:v>98400</c:v>
                </c:pt>
              </c:numCache>
            </c:numRef>
          </c:val>
          <c:smooth val="0"/>
          <c:extLst>
            <c:ext xmlns:c16="http://schemas.microsoft.com/office/drawing/2014/chart" uri="{C3380CC4-5D6E-409C-BE32-E72D297353CC}">
              <c16:uniqueId val="{00000000-9EC5-444D-AB9D-1FAC67518B91}"/>
            </c:ext>
          </c:extLst>
        </c:ser>
        <c:dLbls>
          <c:showLegendKey val="0"/>
          <c:showVal val="0"/>
          <c:showCatName val="0"/>
          <c:showSerName val="0"/>
          <c:showPercent val="0"/>
          <c:showBubbleSize val="0"/>
        </c:dLbls>
        <c:marker val="1"/>
        <c:smooth val="0"/>
        <c:axId val="128857951"/>
        <c:axId val="128852191"/>
      </c:lineChart>
      <c:catAx>
        <c:axId val="128857951"/>
        <c:scaling>
          <c:orientation val="minMax"/>
        </c:scaling>
        <c:delete val="0"/>
        <c:axPos val="b"/>
        <c:numFmt formatCode="General" sourceLinked="1"/>
        <c:majorTickMark val="none"/>
        <c:minorTickMark val="none"/>
        <c:tickLblPos val="nextTo"/>
        <c:spPr>
          <a:noFill/>
          <a:ln w="6350" cap="flat" cmpd="sng" algn="ctr">
            <a:solidFill>
              <a:schemeClr val="tx2"/>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2191"/>
        <c:crosses val="autoZero"/>
        <c:auto val="1"/>
        <c:lblAlgn val="ctr"/>
        <c:lblOffset val="100"/>
        <c:noMultiLvlLbl val="0"/>
      </c:catAx>
      <c:valAx>
        <c:axId val="128852191"/>
        <c:scaling>
          <c:orientation val="minMax"/>
        </c:scaling>
        <c:delete val="0"/>
        <c:axPos val="l"/>
        <c:numFmt formatCode="General" sourceLinked="1"/>
        <c:majorTickMark val="none"/>
        <c:minorTickMark val="none"/>
        <c:tickLblPos val="nextTo"/>
        <c:spPr>
          <a:noFill/>
          <a:ln w="6350">
            <a:solidFill>
              <a:schemeClr val="tx2">
                <a:lumMod val="50000"/>
              </a:schemeClr>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79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[Project_Dataset.xlsx]OBJ4!PivotTable5</c:name>
    <c:fmtId val="23"/>
  </c:pivotSource>
  <c:chart>
    <c:title>
      <c:tx>
        <c:rich>
          <a:bodyPr rot="0" spcFirstLastPara="1" vertOverflow="ellipsis" vert="horz" wrap="square" anchor="ctr" anchorCtr="1"/>
          <a:lstStyle/>
          <a:p>
            <a:pPr>
              <a:defRPr sz="1600" b="1" i="0" u="none" strike="noStrike" kern="1200" cap="all" baseline="0">
                <a:solidFill>
                  <a:schemeClr val="tx2">
                    <a:lumMod val="50000"/>
                  </a:schemeClr>
                </a:solidFill>
                <a:latin typeface="+mn-lt"/>
                <a:ea typeface="+mn-ea"/>
                <a:cs typeface="+mn-cs"/>
              </a:defRPr>
            </a:pPr>
            <a:r>
              <a:rPr lang="en-US">
                <a:solidFill>
                  <a:schemeClr val="tx2">
                    <a:lumMod val="50000"/>
                  </a:schemeClr>
                </a:solidFill>
              </a:rPr>
              <a:t>category</a:t>
            </a:r>
            <a:r>
              <a:rPr lang="en-US" baseline="0">
                <a:solidFill>
                  <a:schemeClr val="tx2">
                    <a:lumMod val="50000"/>
                  </a:schemeClr>
                </a:solidFill>
              </a:rPr>
              <a:t> vs SUM</a:t>
            </a:r>
            <a:endParaRPr lang="en-US">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'OBJ4'!$B$3</c:f>
              <c:strCache>
                <c:ptCount val="1"/>
                <c:pt idx="0">
                  <c:v>Total</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9EA-46E7-ADFC-C978AC0AADAE}"/>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9EA-46E7-ADFC-C978AC0AADAE}"/>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9EA-46E7-ADFC-C978AC0AADA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9EA-46E7-ADFC-C978AC0AADA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9EA-46E7-ADFC-C978AC0AADA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9EA-46E7-ADFC-C978AC0AADA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'OBJ4'!$A$4:$A$7</c:f>
              <c:strCache>
                <c:ptCount val="3"/>
                <c:pt idx="0">
                  <c:v>Accessories</c:v>
                </c:pt>
                <c:pt idx="1">
                  <c:v>Electronics</c:v>
                </c:pt>
                <c:pt idx="2">
                  <c:v>Furniture</c:v>
                </c:pt>
              </c:strCache>
            </c:strRef>
          </c:cat>
          <c:val>
            <c:numRef>
              <c:f>'OBJ4'!$B$4:$B$7</c:f>
              <c:numCache>
                <c:formatCode>General</c:formatCode>
                <c:ptCount val="3"/>
                <c:pt idx="0">
                  <c:v>237</c:v>
                </c:pt>
                <c:pt idx="1">
                  <c:v>753</c:v>
                </c:pt>
                <c:pt idx="2">
                  <c:v>556</c:v>
                </c:pt>
              </c:numCache>
            </c:numRef>
          </c:val>
          <c:extLst>
            <c:ext xmlns:c16="http://schemas.microsoft.com/office/drawing/2014/chart" uri="{C3380CC4-5D6E-409C-BE32-E72D297353CC}">
              <c16:uniqueId val="{00000006-29EA-46E7-ADFC-C978AC0AADAE}"/>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[Project_Dataset.xlsx]OBJ5!PivotTable6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'OBJ5'!$B$3</c:f>
              <c:strCache>
                <c:ptCount val="1"/>
                <c:pt idx="0">
                  <c:v>Total</c:v>
                </c:pt>
              </c:strCache>
            </c:strRef>
          </c:tx>
          <c:spPr>
            <a:solidFill>
              <a:schemeClr val="accent1">
                <a:lumMod val="75000"/>
              </a:schemeClr>
            </a:solidFill>
            <a:ln>
              <a:noFill/>
            </a:ln>
            <a:effectLst/>
            <a:sp3d/>
          </c:spPr>
          <c:invertIfNegative val="0"/>
          <c:cat>
            <c:strRef>
              <c:f>'OBJ5'!$A$4:$A$9</c:f>
              <c:strCache>
                <c:ptCount val="5"/>
                <c:pt idx="0">
                  <c:v>Cash</c:v>
                </c:pt>
                <c:pt idx="1">
                  <c:v>Credit Card</c:v>
                </c:pt>
                <c:pt idx="2">
                  <c:v>Debit Card</c:v>
                </c:pt>
                <c:pt idx="3">
                  <c:v>Net Banking</c:v>
                </c:pt>
                <c:pt idx="4">
                  <c:v>UPI</c:v>
                </c:pt>
              </c:strCache>
            </c:strRef>
          </c:cat>
          <c:val>
            <c:numRef>
              <c:f>'OBJ5'!$B$4:$B$9</c:f>
              <c:numCache>
                <c:formatCode>General</c:formatCode>
                <c:ptCount val="5"/>
                <c:pt idx="0">
                  <c:v>90</c:v>
                </c:pt>
                <c:pt idx="1">
                  <c:v>93</c:v>
                </c:pt>
                <c:pt idx="2">
                  <c:v>85</c:v>
                </c:pt>
                <c:pt idx="3">
                  <c:v>95</c:v>
                </c:pt>
                <c:pt idx="4">
                  <c:v>87</c:v>
                </c:pt>
              </c:numCache>
            </c:numRef>
          </c:val>
          <c:extLst>
            <c:ext xmlns:c16="http://schemas.microsoft.com/office/drawing/2014/chart" uri="{C3380CC4-5D6E-409C-BE32-E72D297353CC}">
              <c16:uniqueId val="{00000000-EB10-4C81-AAA4-032F8844E6A3}"/>
            </c:ext>
          </c:extLst>
        </c:ser>
        <c:dLbls>
          <c:showLegendKey val="0"/>
          <c:showVal val="0"/>
          <c:showCatName val="0"/>
          <c:showSerName val="0"/>
          <c:showPercent val="0"/>
          <c:showBubbleSize val="0"/>
        </c:dLbls>
        <c:gapWidth val="150"/>
        <c:shape val="box"/>
        <c:axId val="1108541647"/>
        <c:axId val="1108542127"/>
        <c:axId val="0"/>
      </c:bar3DChart>
      <c:catAx>
        <c:axId val="1108541647"/>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08542127"/>
        <c:crosses val="autoZero"/>
        <c:auto val="1"/>
        <c:lblAlgn val="ctr"/>
        <c:lblOffset val="100"/>
        <c:noMultiLvlLbl val="0"/>
      </c:catAx>
      <c:valAx>
        <c:axId val="1108542127"/>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10854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8.xml"/><Relationship Id="rId7" Type="http://schemas.openxmlformats.org/officeDocument/2006/relationships/chart" Target="../charts/chart10.xml"/><Relationship Id="rId12" Type="http://schemas.openxmlformats.org/officeDocument/2006/relationships/image" Target="../media/image9.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chart" Target="../charts/chart9.xml"/><Relationship Id="rId9" Type="http://schemas.openxmlformats.org/officeDocument/2006/relationships/image" Target="../media/image6.svg"/><Relationship Id="rId1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342900</xdr:colOff>
      <xdr:row>2</xdr:row>
      <xdr:rowOff>64770</xdr:rowOff>
    </xdr:from>
    <xdr:to>
      <xdr:col>10</xdr:col>
      <xdr:colOff>38100</xdr:colOff>
      <xdr:row>17</xdr:row>
      <xdr:rowOff>64770</xdr:rowOff>
    </xdr:to>
    <xdr:graphicFrame macro="">
      <xdr:nvGraphicFramePr>
        <xdr:cNvPr id="3" name="Chart 2">
          <a:extLst>
            <a:ext uri="{FF2B5EF4-FFF2-40B4-BE49-F238E27FC236}">
              <a16:creationId xmlns:a16="http://schemas.microsoft.com/office/drawing/2014/main" id="{8A745229-066E-6490-DA83-E29E6B1B4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144781</xdr:rowOff>
    </xdr:from>
    <xdr:to>
      <xdr:col>1</xdr:col>
      <xdr:colOff>1082040</xdr:colOff>
      <xdr:row>18</xdr:row>
      <xdr:rowOff>45720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A9F89DC4-9E1F-9203-FC9C-BF1A08C7EA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156461"/>
              <a:ext cx="19431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1203960</xdr:colOff>
      <xdr:row>8</xdr:row>
      <xdr:rowOff>133350</xdr:rowOff>
    </xdr:from>
    <xdr:to>
      <xdr:col>10</xdr:col>
      <xdr:colOff>228600</xdr:colOff>
      <xdr:row>23</xdr:row>
      <xdr:rowOff>133350</xdr:rowOff>
    </xdr:to>
    <xdr:graphicFrame macro="">
      <xdr:nvGraphicFramePr>
        <xdr:cNvPr id="2" name="Chart 1">
          <a:extLst>
            <a:ext uri="{FF2B5EF4-FFF2-40B4-BE49-F238E27FC236}">
              <a16:creationId xmlns:a16="http://schemas.microsoft.com/office/drawing/2014/main" id="{1F8D1E77-3905-8858-385D-2789AF79F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358140</xdr:colOff>
      <xdr:row>2</xdr:row>
      <xdr:rowOff>83820</xdr:rowOff>
    </xdr:from>
    <xdr:to>
      <xdr:col>14</xdr:col>
      <xdr:colOff>358140</xdr:colOff>
      <xdr:row>15</xdr:row>
      <xdr:rowOff>173355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EC75E3C4-CB9D-0FF5-2D4F-D67E668C97A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442960" y="44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8</xdr:row>
      <xdr:rowOff>133350</xdr:rowOff>
    </xdr:from>
    <xdr:to>
      <xdr:col>11</xdr:col>
      <xdr:colOff>190500</xdr:colOff>
      <xdr:row>23</xdr:row>
      <xdr:rowOff>133350</xdr:rowOff>
    </xdr:to>
    <xdr:graphicFrame macro="">
      <xdr:nvGraphicFramePr>
        <xdr:cNvPr id="2" name="Chart 1">
          <a:extLst>
            <a:ext uri="{FF2B5EF4-FFF2-40B4-BE49-F238E27FC236}">
              <a16:creationId xmlns:a16="http://schemas.microsoft.com/office/drawing/2014/main" id="{7FD8B116-A32E-6939-C086-2908A9F41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906780</xdr:colOff>
      <xdr:row>8</xdr:row>
      <xdr:rowOff>34290</xdr:rowOff>
    </xdr:from>
    <xdr:to>
      <xdr:col>9</xdr:col>
      <xdr:colOff>190500</xdr:colOff>
      <xdr:row>23</xdr:row>
      <xdr:rowOff>34290</xdr:rowOff>
    </xdr:to>
    <xdr:graphicFrame macro="">
      <xdr:nvGraphicFramePr>
        <xdr:cNvPr id="3" name="Chart 2">
          <a:extLst>
            <a:ext uri="{FF2B5EF4-FFF2-40B4-BE49-F238E27FC236}">
              <a16:creationId xmlns:a16="http://schemas.microsoft.com/office/drawing/2014/main" id="{04EE951F-F866-B76E-2806-16B83DC8F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594360</xdr:colOff>
      <xdr:row>8</xdr:row>
      <xdr:rowOff>133350</xdr:rowOff>
    </xdr:from>
    <xdr:to>
      <xdr:col>11</xdr:col>
      <xdr:colOff>289560</xdr:colOff>
      <xdr:row>23</xdr:row>
      <xdr:rowOff>133350</xdr:rowOff>
    </xdr:to>
    <xdr:graphicFrame macro="">
      <xdr:nvGraphicFramePr>
        <xdr:cNvPr id="2" name="Chart 1">
          <a:extLst>
            <a:ext uri="{FF2B5EF4-FFF2-40B4-BE49-F238E27FC236}">
              <a16:creationId xmlns:a16="http://schemas.microsoft.com/office/drawing/2014/main" id="{9EB59769-DEF9-2E87-5EAE-2F60D85F2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1</xdr:row>
      <xdr:rowOff>30480</xdr:rowOff>
    </xdr:from>
    <xdr:to>
      <xdr:col>15</xdr:col>
      <xdr:colOff>266700</xdr:colOff>
      <xdr:row>14</xdr:row>
      <xdr:rowOff>120015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2AEE522F-71D5-5B1A-FC56-A3BAE9E53F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90560" y="21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410664</xdr:colOff>
      <xdr:row>11</xdr:row>
      <xdr:rowOff>171450</xdr:rowOff>
    </xdr:from>
    <xdr:to>
      <xdr:col>6</xdr:col>
      <xdr:colOff>446424</xdr:colOff>
      <xdr:row>27</xdr:row>
      <xdr:rowOff>115454</xdr:rowOff>
    </xdr:to>
    <xdr:graphicFrame macro="">
      <xdr:nvGraphicFramePr>
        <xdr:cNvPr id="2" name="Chart 1">
          <a:extLst>
            <a:ext uri="{FF2B5EF4-FFF2-40B4-BE49-F238E27FC236}">
              <a16:creationId xmlns:a16="http://schemas.microsoft.com/office/drawing/2014/main" id="{4E030E35-2FF9-430A-B679-0F5C5D1E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3511</xdr:colOff>
      <xdr:row>1</xdr:row>
      <xdr:rowOff>38921</xdr:rowOff>
    </xdr:from>
    <xdr:to>
      <xdr:col>10</xdr:col>
      <xdr:colOff>76970</xdr:colOff>
      <xdr:row>7</xdr:row>
      <xdr:rowOff>100060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D14E8605-DB3A-4253-A413-45EF7E653C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476056" y="308315"/>
              <a:ext cx="1612853" cy="1169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556970</xdr:colOff>
      <xdr:row>1</xdr:row>
      <xdr:rowOff>22860</xdr:rowOff>
    </xdr:from>
    <xdr:to>
      <xdr:col>8</xdr:col>
      <xdr:colOff>359895</xdr:colOff>
      <xdr:row>10</xdr:row>
      <xdr:rowOff>229026</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BD1AEC64-02C0-401F-9AAE-31390267D49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989212" y="292254"/>
              <a:ext cx="2235168" cy="2107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407824</xdr:colOff>
      <xdr:row>1</xdr:row>
      <xdr:rowOff>52108</xdr:rowOff>
    </xdr:from>
    <xdr:to>
      <xdr:col>4</xdr:col>
      <xdr:colOff>285456</xdr:colOff>
      <xdr:row>10</xdr:row>
      <xdr:rowOff>269646</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BCA17D5B-8888-4F9A-8C89-6514DA6E82A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07824" y="321502"/>
              <a:ext cx="2309874" cy="2118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184728</xdr:colOff>
      <xdr:row>1</xdr:row>
      <xdr:rowOff>55725</xdr:rowOff>
    </xdr:from>
    <xdr:to>
      <xdr:col>21</xdr:col>
      <xdr:colOff>327121</xdr:colOff>
      <xdr:row>11</xdr:row>
      <xdr:rowOff>93517</xdr:rowOff>
    </xdr:to>
    <xdr:graphicFrame macro="">
      <xdr:nvGraphicFramePr>
        <xdr:cNvPr id="7" name="Chart 6">
          <a:extLst>
            <a:ext uri="{FF2B5EF4-FFF2-40B4-BE49-F238E27FC236}">
              <a16:creationId xmlns:a16="http://schemas.microsoft.com/office/drawing/2014/main" id="{4506816D-3F28-4408-BFFE-991E7D476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171091</xdr:colOff>
      <xdr:row>13</xdr:row>
      <xdr:rowOff>126025</xdr:rowOff>
    </xdr:from>
    <xdr:to>
      <xdr:col>12</xdr:col>
      <xdr:colOff>500302</xdr:colOff>
      <xdr:row>27</xdr:row>
      <xdr:rowOff>100060</xdr:rowOff>
    </xdr:to>
    <xdr:graphicFrame macro="">
      <xdr:nvGraphicFramePr>
        <xdr:cNvPr id="8" name="Chart 7">
          <a:extLst>
            <a:ext uri="{FF2B5EF4-FFF2-40B4-BE49-F238E27FC236}">
              <a16:creationId xmlns:a16="http://schemas.microsoft.com/office/drawing/2014/main" id="{61FA6A41-40D5-446A-AD06-2123CAA37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354060</xdr:colOff>
      <xdr:row>1</xdr:row>
      <xdr:rowOff>69273</xdr:rowOff>
    </xdr:from>
    <xdr:to>
      <xdr:col>14</xdr:col>
      <xdr:colOff>492606</xdr:colOff>
      <xdr:row>12</xdr:row>
      <xdr:rowOff>105786</xdr:rowOff>
    </xdr:to>
    <xdr:graphicFrame macro="">
      <xdr:nvGraphicFramePr>
        <xdr:cNvPr id="9" name="Chart 8">
          <a:extLst>
            <a:ext uri="{FF2B5EF4-FFF2-40B4-BE49-F238E27FC236}">
              <a16:creationId xmlns:a16="http://schemas.microsoft.com/office/drawing/2014/main" id="{8C485D4B-34FE-4D12-AB66-7941DC933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489858</xdr:colOff>
      <xdr:row>12</xdr:row>
      <xdr:rowOff>36287</xdr:rowOff>
    </xdr:from>
    <xdr:to>
      <xdr:col>1</xdr:col>
      <xdr:colOff>254000</xdr:colOff>
      <xdr:row>14</xdr:row>
      <xdr:rowOff>45357</xdr:rowOff>
    </xdr:to>
    <xdr:pic>
      <xdr:nvPicPr>
        <xdr:cNvPr id="11" name="Graphic 10" descr="Signal with solid fill">
          <a:extLst>
            <a:ext uri="{FF2B5EF4-FFF2-40B4-BE49-F238E27FC236}">
              <a16:creationId xmlns:a16="http://schemas.microsoft.com/office/drawing/2014/main" id="{60EA68E8-FBB8-22F9-EBF2-29655B2F6C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9858" y="2621644"/>
          <a:ext cx="371928" cy="371928"/>
        </a:xfrm>
        <a:prstGeom prst="rect">
          <a:avLst/>
        </a:prstGeom>
      </xdr:spPr>
    </xdr:pic>
    <xdr:clientData/>
  </xdr:twoCellAnchor>
  <xdr:twoCellAnchor>
    <xdr:from>
      <xdr:col>13</xdr:col>
      <xdr:colOff>244653</xdr:colOff>
      <xdr:row>13</xdr:row>
      <xdr:rowOff>23092</xdr:rowOff>
    </xdr:from>
    <xdr:to>
      <xdr:col>21</xdr:col>
      <xdr:colOff>315576</xdr:colOff>
      <xdr:row>27</xdr:row>
      <xdr:rowOff>115455</xdr:rowOff>
    </xdr:to>
    <xdr:graphicFrame macro="">
      <xdr:nvGraphicFramePr>
        <xdr:cNvPr id="12" name="Chart 11">
          <a:extLst>
            <a:ext uri="{FF2B5EF4-FFF2-40B4-BE49-F238E27FC236}">
              <a16:creationId xmlns:a16="http://schemas.microsoft.com/office/drawing/2014/main" id="{1D3E4BF0-B4AD-4D0C-987A-C6BFFAAC7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362855</xdr:colOff>
      <xdr:row>10</xdr:row>
      <xdr:rowOff>145142</xdr:rowOff>
    </xdr:from>
    <xdr:to>
      <xdr:col>9</xdr:col>
      <xdr:colOff>136069</xdr:colOff>
      <xdr:row>10</xdr:row>
      <xdr:rowOff>526141</xdr:rowOff>
    </xdr:to>
    <xdr:pic>
      <xdr:nvPicPr>
        <xdr:cNvPr id="14" name="Graphic 13" descr="Rupee with solid fill">
          <a:extLst>
            <a:ext uri="{FF2B5EF4-FFF2-40B4-BE49-F238E27FC236}">
              <a16:creationId xmlns:a16="http://schemas.microsoft.com/office/drawing/2014/main" id="{0145AA96-7F19-7CE1-59E4-914B589B984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25141" y="1959428"/>
          <a:ext cx="380999" cy="380999"/>
        </a:xfrm>
        <a:prstGeom prst="rect">
          <a:avLst/>
        </a:prstGeom>
      </xdr:spPr>
    </xdr:pic>
    <xdr:clientData/>
  </xdr:twoCellAnchor>
  <xdr:twoCellAnchor editAs="oneCell">
    <xdr:from>
      <xdr:col>13</xdr:col>
      <xdr:colOff>300182</xdr:colOff>
      <xdr:row>13</xdr:row>
      <xdr:rowOff>30788</xdr:rowOff>
    </xdr:from>
    <xdr:to>
      <xdr:col>14</xdr:col>
      <xdr:colOff>161635</xdr:colOff>
      <xdr:row>15</xdr:row>
      <xdr:rowOff>130848</xdr:rowOff>
    </xdr:to>
    <xdr:pic>
      <xdr:nvPicPr>
        <xdr:cNvPr id="16" name="Graphic 15" descr="Bar chart with solid fill">
          <a:extLst>
            <a:ext uri="{FF2B5EF4-FFF2-40B4-BE49-F238E27FC236}">
              <a16:creationId xmlns:a16="http://schemas.microsoft.com/office/drawing/2014/main" id="{998AFEED-E07A-BFA2-8466-E5892B62C5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36303" y="3155758"/>
          <a:ext cx="469514" cy="469514"/>
        </a:xfrm>
        <a:prstGeom prst="rect">
          <a:avLst/>
        </a:prstGeom>
      </xdr:spPr>
    </xdr:pic>
    <xdr:clientData/>
  </xdr:twoCellAnchor>
  <xdr:twoCellAnchor editAs="oneCell">
    <xdr:from>
      <xdr:col>8</xdr:col>
      <xdr:colOff>531090</xdr:colOff>
      <xdr:row>13</xdr:row>
      <xdr:rowOff>161636</xdr:rowOff>
    </xdr:from>
    <xdr:to>
      <xdr:col>9</xdr:col>
      <xdr:colOff>354061</xdr:colOff>
      <xdr:row>16</xdr:row>
      <xdr:rowOff>38485</xdr:rowOff>
    </xdr:to>
    <xdr:pic>
      <xdr:nvPicPr>
        <xdr:cNvPr id="18" name="Graphic 17" descr="Exponential Graph with solid fill">
          <a:extLst>
            <a:ext uri="{FF2B5EF4-FFF2-40B4-BE49-F238E27FC236}">
              <a16:creationId xmlns:a16="http://schemas.microsoft.com/office/drawing/2014/main" id="{A9976E7A-6B27-90B8-1C21-608FFAE10C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395575" y="3286606"/>
          <a:ext cx="431031" cy="431031"/>
        </a:xfrm>
        <a:prstGeom prst="rect">
          <a:avLst/>
        </a:prstGeom>
      </xdr:spPr>
    </xdr:pic>
    <xdr:clientData/>
  </xdr:twoCellAnchor>
  <xdr:twoCellAnchor editAs="oneCell">
    <xdr:from>
      <xdr:col>10</xdr:col>
      <xdr:colOff>376970</xdr:colOff>
      <xdr:row>1</xdr:row>
      <xdr:rowOff>122968</xdr:rowOff>
    </xdr:from>
    <xdr:to>
      <xdr:col>11</xdr:col>
      <xdr:colOff>161638</xdr:colOff>
      <xdr:row>3</xdr:row>
      <xdr:rowOff>146243</xdr:rowOff>
    </xdr:to>
    <xdr:pic>
      <xdr:nvPicPr>
        <xdr:cNvPr id="22" name="Graphic 21" descr="Harvey Balls 55% outline">
          <a:extLst>
            <a:ext uri="{FF2B5EF4-FFF2-40B4-BE49-F238E27FC236}">
              <a16:creationId xmlns:a16="http://schemas.microsoft.com/office/drawing/2014/main" id="{D32E98A6-CC4F-42C9-B45F-2A88C9B6B63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88909" y="392362"/>
          <a:ext cx="392729" cy="392729"/>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0.02591</cdr:x>
      <cdr:y>0.00808</cdr:y>
    </cdr:from>
    <cdr:to>
      <cdr:x>0.14553</cdr:x>
      <cdr:y>0.19454</cdr:y>
    </cdr:to>
    <cdr:pic>
      <cdr:nvPicPr>
        <cdr:cNvPr id="3" name="Graphic 2" descr="Pie chart with solid fill">
          <a:extLst xmlns:a="http://schemas.openxmlformats.org/drawingml/2006/main">
            <a:ext uri="{FF2B5EF4-FFF2-40B4-BE49-F238E27FC236}">
              <a16:creationId xmlns:a16="http://schemas.microsoft.com/office/drawing/2014/main" id="{F676ED4C-A30D-C6A9-01FA-6EA4E508A2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0714" y="18143"/>
          <a:ext cx="418737" cy="418737"/>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han Tanaaz" refreshedDate="46010.743893865743" createdVersion="8" refreshedVersion="8" minRefreshableVersion="3" recordCount="450" xr:uid="{7B2EAF99-4256-48BE-8298-6D9BEB73E520}">
  <cacheSource type="worksheet">
    <worksheetSource ref="A1:L451" sheet="Sales_Project_Data"/>
  </cacheSource>
  <cacheFields count="12">
    <cacheField name="Order_ID" numFmtId="0">
      <sharedItems count="45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haredItems>
    </cacheField>
    <cacheField name="Order_Date" numFmtId="0">
      <sharedItems count="266">
        <s v="2023-02-09"/>
        <s v="2023-01-04"/>
        <s v="2023-10-24"/>
        <s v="2023-03-30"/>
        <s v="2023-04-18"/>
        <s v="2023-07-01"/>
        <s v="2023-03-11"/>
        <s v="2023-11-01"/>
        <s v="2023-12-15"/>
        <s v="2023-11-03"/>
        <s v="2023-10-21"/>
        <s v="2023-02-04"/>
        <s v="2023-10-15"/>
        <s v="2023-10-10"/>
        <s v="2023-08-08"/>
        <s v="2023-10-25"/>
        <s v="2023-06-15"/>
        <s v="2023-06-11"/>
        <s v="2023-04-04"/>
        <s v="2023-10-23"/>
        <s v="2023-01-30"/>
        <s v="2023-07-18"/>
        <s v="2023-08-11"/>
        <s v="2023-11-12"/>
        <s v="2023-02-10"/>
        <s v="2023-06-21"/>
        <s v="2023-06-19"/>
        <s v="2023-07-09"/>
        <s v="2023-01-29"/>
        <s v="2023-03-29"/>
        <s v="2023-09-03"/>
        <s v="2023-11-18"/>
        <s v="2023-08-14"/>
        <s v="2023-11-16"/>
        <s v="2023-05-14"/>
        <s v="2023-08-26"/>
        <s v="2023-03-13"/>
        <s v="2023-04-08"/>
        <s v="2023-07-16"/>
        <s v="2023-04-11"/>
        <s v="2023-02-28"/>
        <s v="2023-09-27"/>
        <s v="2023-05-20"/>
        <s v="2023-04-29"/>
        <s v="2023-07-23"/>
        <s v="2023-10-04"/>
        <s v="2023-05-29"/>
        <s v="2023-11-20"/>
        <s v="2023-10-07"/>
        <s v="2023-09-04"/>
        <s v="2023-01-01"/>
        <s v="2023-10-22"/>
        <s v="2023-06-27"/>
        <s v="2023-09-08"/>
        <s v="2023-05-10"/>
        <s v="2023-07-12"/>
        <s v="2023-01-05"/>
        <s v="2023-11-25"/>
        <s v="2023-07-28"/>
        <s v="2023-07-07"/>
        <s v="2023-01-20"/>
        <s v="2023-02-06"/>
        <s v="2023-10-14"/>
        <s v="2023-01-18"/>
        <s v="2023-08-19"/>
        <s v="2023-04-17"/>
        <s v="2023-03-05"/>
        <s v="2023-08-27"/>
        <s v="2023-02-02"/>
        <s v="2023-02-16"/>
        <s v="2023-03-26"/>
        <s v="2023-07-26"/>
        <s v="2023-01-11"/>
        <s v="2023-08-24"/>
        <s v="2023-03-06"/>
        <s v="2023-01-08"/>
        <s v="2023-06-26"/>
        <s v="2023-12-19"/>
        <s v="2023-08-15"/>
        <s v="2023-03-16"/>
        <s v="2023-11-02"/>
        <s v="2023-11-14"/>
        <s v="2023-07-30"/>
        <s v="2023-12-18"/>
        <s v="2023-11-06"/>
        <s v="2023-02-08"/>
        <s v="2023-01-16"/>
        <s v="2023-09-02"/>
        <s v="2023-11-11"/>
        <s v="2023-02-11"/>
        <s v="2023-09-21"/>
        <s v="2023-03-20"/>
        <s v="2023-01-26"/>
        <s v="2023-04-24"/>
        <s v="2023-05-25"/>
        <s v="2023-09-09"/>
        <s v="2023-01-31"/>
        <s v="2023-09-12"/>
        <s v="2023-01-24"/>
        <s v="2023-10-31"/>
        <s v="2023-04-09"/>
        <s v="2023-04-22"/>
        <s v="2023-10-11"/>
        <s v="2023-05-07"/>
        <s v="2023-06-25"/>
        <s v="2023-06-09"/>
        <s v="2023-05-30"/>
        <s v="2023-05-31"/>
        <s v="2023-04-16"/>
        <s v="2023-09-24"/>
        <s v="2023-10-27"/>
        <s v="2023-02-17"/>
        <s v="2023-05-28"/>
        <s v="2023-11-07"/>
        <s v="2023-11-27"/>
        <s v="2023-10-20"/>
        <s v="2023-11-30"/>
        <s v="2023-06-02"/>
        <s v="2023-04-20"/>
        <s v="2023-12-02"/>
        <s v="2023-06-05"/>
        <s v="2023-12-08"/>
        <s v="2023-11-21"/>
        <s v="2023-09-14"/>
        <s v="2023-04-05"/>
        <s v="2023-06-28"/>
        <s v="2023-04-03"/>
        <s v="2023-12-21"/>
        <s v="2023-03-18"/>
        <s v="2023-11-13"/>
        <s v="2023-11-28"/>
        <s v="2023-12-16"/>
        <s v="2023-02-14"/>
        <s v="2023-12-26"/>
        <s v="2023-07-31"/>
        <s v="2023-04-13"/>
        <s v="2023-11-17"/>
        <s v="2023-06-29"/>
        <s v="2023-04-01"/>
        <s v="2023-10-08"/>
        <s v="2023-09-29"/>
        <s v="2023-10-18"/>
        <s v="2023-05-22"/>
        <s v="2023-11-09"/>
        <s v="2023-02-26"/>
        <s v="2023-04-15"/>
        <s v="2023-02-21"/>
        <s v="2023-05-23"/>
        <s v="2023-05-15"/>
        <s v="2023-02-15"/>
        <s v="2023-01-15"/>
        <s v="2023-08-03"/>
        <s v="2023-07-27"/>
        <s v="2023-03-27"/>
        <s v="2023-09-30"/>
        <s v="2023-11-08"/>
        <s v="2023-10-13"/>
        <s v="2023-07-04"/>
        <s v="2023-09-25"/>
        <s v="2023-05-04"/>
        <s v="2023-09-28"/>
        <s v="2023-10-09"/>
        <s v="2023-08-30"/>
        <s v="2023-07-13"/>
        <s v="2023-05-19"/>
        <s v="2023-05-18"/>
        <s v="2023-01-21"/>
        <s v="2023-04-28"/>
        <s v="2023-04-26"/>
        <s v="2023-06-22"/>
        <s v="2023-12-01"/>
        <s v="2023-12-13"/>
        <s v="2023-04-30"/>
        <s v="2023-09-15"/>
        <s v="2023-10-12"/>
        <s v="2023-04-23"/>
        <s v="2023-03-28"/>
        <s v="2023-08-20"/>
        <s v="2023-03-25"/>
        <s v="2023-09-16"/>
        <s v="2023-02-23"/>
        <s v="2023-07-08"/>
        <s v="2023-08-29"/>
        <s v="2023-10-03"/>
        <s v="2023-12-10"/>
        <s v="2023-06-24"/>
        <s v="2023-11-26"/>
        <s v="2023-04-10"/>
        <s v="2023-08-22"/>
        <s v="2023-08-13"/>
        <s v="2023-06-07"/>
        <s v="2023-03-23"/>
        <s v="2023-09-19"/>
        <s v="2023-06-12"/>
        <s v="2023-11-04"/>
        <s v="2023-12-30"/>
        <s v="2023-12-11"/>
        <s v="2023-04-25"/>
        <s v="2023-09-05"/>
        <s v="2023-07-22"/>
        <s v="2023-05-08"/>
        <s v="2023-11-29"/>
        <s v="2023-07-17"/>
        <s v="2023-03-03"/>
        <s v="2023-07-15"/>
        <s v="2023-12-12"/>
        <s v="2023-08-01"/>
        <s v="2023-04-06"/>
        <s v="2023-11-24"/>
        <s v="2023-12-29"/>
        <s v="2023-07-29"/>
        <s v="2023-02-20"/>
        <s v="2023-05-12"/>
        <s v="2023-05-11"/>
        <s v="2023-02-01"/>
        <s v="2023-08-17"/>
        <s v="2023-03-08"/>
        <s v="2023-08-04"/>
        <s v="2023-12-28"/>
        <s v="2023-02-25"/>
        <s v="2023-03-10"/>
        <s v="2023-02-05"/>
        <s v="2023-10-02"/>
        <s v="2023-05-26"/>
        <s v="2023-01-02"/>
        <s v="2023-06-30"/>
        <s v="2023-08-07"/>
        <s v="2023-06-03"/>
        <s v="2023-12-03"/>
        <s v="2023-03-22"/>
        <s v="2023-07-21"/>
        <s v="2023-08-02"/>
        <s v="2023-04-12"/>
        <s v="2023-10-30"/>
        <s v="2023-10-05"/>
        <s v="2023-01-14"/>
        <s v="2023-02-12"/>
        <s v="2023-02-19"/>
        <s v="2023-03-24"/>
        <s v="2023-11-10"/>
        <s v="2023-12-20"/>
        <s v="2023-05-02"/>
        <s v="2023-07-24"/>
        <s v="2023-02-24"/>
        <s v="2023-03-15"/>
        <s v="2023-01-13"/>
        <s v="2023-11-23"/>
        <s v="2023-10-01"/>
        <s v="2023-04-02"/>
        <s v="2023-04-14"/>
        <s v="2023-08-18"/>
        <s v="2023-10-06"/>
        <s v="2023-08-25"/>
        <s v="2023-12-05"/>
        <s v="2023-08-12"/>
        <s v="2023-01-09"/>
        <s v="2023-08-21"/>
        <s v="2023-06-06"/>
        <s v="2023-12-22"/>
        <s v="2023-08-31"/>
        <s v="2023-03-17"/>
        <s v="2023-09-22"/>
        <s v="2023-06-08"/>
        <s v="2023-05-24"/>
        <s v="2023-11-05"/>
        <s v="2023-02-27"/>
      </sharedItems>
    </cacheField>
    <cacheField name="Customer_ID" numFmtId="0">
      <sharedItems count="441">
        <s v="CUST2970"/>
        <s v="CUST6010"/>
        <s v="CUST2722"/>
        <s v="CUST4142"/>
        <s v="CUST6251"/>
        <s v="CUST3140"/>
        <s v="CUST8634"/>
        <s v="CUST2243"/>
        <s v="CUST9456"/>
        <s v="CUST3080"/>
        <s v="CUST1828"/>
        <s v="CUST3718"/>
        <s v="CUST5514"/>
        <s v="CUST8898"/>
        <s v="CUST8160"/>
        <s v="CUST6354"/>
        <s v="CUST7367"/>
        <s v="CUST2500"/>
        <s v="CUST7963"/>
        <s v="CUST4101"/>
        <s v="CUST6306"/>
        <s v="CUST3064"/>
        <s v="CUST9995"/>
        <s v="CUST7626"/>
        <s v="CUST3967"/>
        <s v="CUST4216"/>
        <s v="CUST8618"/>
        <s v="CUST3093"/>
        <s v="CUST8745"/>
        <s v="CUST1702"/>
        <s v="CUST2641"/>
        <s v="CUST2765"/>
        <s v="CUST6837"/>
        <s v="CUST4448"/>
        <s v="CUST1287"/>
        <s v="CUST4793"/>
        <s v="CUST2387"/>
        <s v="CUST1607"/>
        <s v="CUST2861"/>
        <s v="CUST9492"/>
        <s v="CUST2372"/>
        <s v="CUST7526"/>
        <s v="CUST8723"/>
        <s v="CUST1512"/>
        <s v="CUST4355"/>
        <s v="CUST8467"/>
        <s v="CUST5062"/>
        <s v="CUST8007"/>
        <s v="CUST1856"/>
        <s v="CUST5590"/>
        <s v="CUST7825"/>
        <s v="CUST2334"/>
        <s v="CUST2030"/>
        <s v="CUST2756"/>
        <s v="CUST6694"/>
        <s v="CUST1911"/>
        <s v="CUST3842"/>
        <s v="CUST7950"/>
        <s v="CUST1279"/>
        <s v="CUST5643"/>
        <s v="CUST5831"/>
        <s v="CUST8962"/>
        <s v="CUST3584"/>
        <s v="CUST4585"/>
        <s v="CUST6200"/>
        <s v="CUST1668"/>
        <s v="CUST4215"/>
        <s v="CUST2881"/>
        <s v="CUST3116"/>
        <s v="CUST7920"/>
        <s v="CUST1683"/>
        <s v="CUST1505"/>
        <s v="CUST3242"/>
        <s v="CUST6592"/>
        <s v="CUST4551"/>
        <s v="CUST3587"/>
        <s v="CUST5217"/>
        <s v="CUST6717"/>
        <s v="CUST1492"/>
        <s v="CUST1663"/>
        <s v="CUST5499"/>
        <s v="CUST9624"/>
        <s v="CUST7338"/>
        <s v="CUST4501"/>
        <s v="CUST6282"/>
        <s v="CUST8193"/>
        <s v="CUST1411"/>
        <s v="CUST9104"/>
        <s v="CUST1218"/>
        <s v="CUST2834"/>
        <s v="CUST9891"/>
        <s v="CUST3579"/>
        <s v="CUST4926"/>
        <s v="CUST9139"/>
        <s v="CUST2340"/>
        <s v="CUST4375"/>
        <s v="CUST5109"/>
        <s v="CUST8416"/>
        <s v="CUST4200"/>
        <s v="CUST5969"/>
        <s v="CUST4581"/>
        <s v="CUST9605"/>
        <s v="CUST2761"/>
        <s v="CUST8737"/>
        <s v="CUST8293"/>
        <s v="CUST1585"/>
        <s v="CUST6979"/>
        <s v="CUST2882"/>
        <s v="CUST4722"/>
        <s v="CUST5544"/>
        <s v="CUST2034"/>
        <s v="CUST1135"/>
        <s v="CUST5095"/>
        <s v="CUST2166"/>
        <s v="CUST7542"/>
        <s v="CUST1389"/>
        <s v="CUST5733"/>
        <s v="CUST8437"/>
        <s v="CUST4678"/>
        <s v="CUST9337"/>
        <s v="CUST2077"/>
        <s v="CUST7419"/>
        <s v="CUST6161"/>
        <s v="CUST1058"/>
        <s v="CUST7006"/>
        <s v="CUST9905"/>
        <s v="CUST3401"/>
        <s v="CUST6753"/>
        <s v="CUST3540"/>
        <s v="CUST5262"/>
        <s v="CUST1305"/>
        <s v="CUST6872"/>
        <s v="CUST8729"/>
        <s v="CUST1652"/>
        <s v="CUST7679"/>
        <s v="CUST1912"/>
        <s v="CUST6411"/>
        <s v="CUST4262"/>
        <s v="CUST7149"/>
        <s v="CUST6349"/>
        <s v="CUST6450"/>
        <s v="CUST1068"/>
        <s v="CUST6644"/>
        <s v="CUST6710"/>
        <s v="CUST3700"/>
        <s v="CUST2713"/>
        <s v="CUST8875"/>
        <s v="CUST9588"/>
        <s v="CUST7804"/>
        <s v="CUST3563"/>
        <s v="CUST8351"/>
        <s v="CUST4755"/>
        <s v="CUST7075"/>
        <s v="CUST6390"/>
        <s v="CUST3514"/>
        <s v="CUST6441"/>
        <s v="CUST9377"/>
        <s v="CUST9560"/>
        <s v="CUST8340"/>
        <s v="CUST2083"/>
        <s v="CUST9128"/>
        <s v="CUST2642"/>
        <s v="CUST4366"/>
        <s v="CUST6164"/>
        <s v="CUST3548"/>
        <s v="CUST2399"/>
        <s v="CUST7057"/>
        <s v="CUST8772"/>
        <s v="CUST1971"/>
        <s v="CUST1921"/>
        <s v="CUST2185"/>
        <s v="CUST6796"/>
        <s v="CUST1561"/>
        <s v="CUST2470"/>
        <s v="CUST2291"/>
        <s v="CUST5401"/>
        <s v="CUST6060"/>
        <s v="CUST6289"/>
        <s v="CUST2102"/>
        <s v="CUST7056"/>
        <s v="CUST3293"/>
        <s v="CUST4153"/>
        <s v="CUST8384"/>
        <s v="CUST2837"/>
        <s v="CUST6267"/>
        <s v="CUST8696"/>
        <s v="CUST3181"/>
        <s v="CUST8357"/>
        <s v="CUST2070"/>
        <s v="CUST2084"/>
        <s v="CUST4398"/>
        <s v="CUST7105"/>
        <s v="CUST8879"/>
        <s v="CUST1320"/>
        <s v="CUST2671"/>
        <s v="CUST6380"/>
        <s v="CUST1802"/>
        <s v="CUST3519"/>
        <s v="CUST9893"/>
        <s v="CUST1402"/>
        <s v="CUST8482"/>
        <s v="CUST3257"/>
        <s v="CUST1240"/>
        <s v="CUST2693"/>
        <s v="CUST1898"/>
        <s v="CUST6877"/>
        <s v="CUST1575"/>
        <s v="CUST2647"/>
        <s v="CUST6982"/>
        <s v="CUST1277"/>
        <s v="CUST4029"/>
        <s v="CUST3069"/>
        <s v="CUST6388"/>
        <s v="CUST2302"/>
        <s v="CUST9569"/>
        <s v="CUST4579"/>
        <s v="CUST6564"/>
        <s v="CUST8510"/>
        <s v="CUST9364"/>
        <s v="CUST7962"/>
        <s v="CUST1383"/>
        <s v="CUST7332"/>
        <s v="CUST2279"/>
        <s v="CUST8221"/>
        <s v="CUST6145"/>
        <s v="CUST6777"/>
        <s v="CUST5574"/>
        <s v="CUST8503"/>
        <s v="CUST6607"/>
        <s v="CUST7779"/>
        <s v="CUST6346"/>
        <s v="CUST3353"/>
        <s v="CUST9142"/>
        <s v="CUST3194"/>
        <s v="CUST7812"/>
        <s v="CUST5607"/>
        <s v="CUST9137"/>
        <s v="CUST8089"/>
        <s v="CUST4630"/>
        <s v="CUST6463"/>
        <s v="CUST3724"/>
        <s v="CUST7762"/>
        <s v="CUST1515"/>
        <s v="CUST1206"/>
        <s v="CUST5837"/>
        <s v="CUST4718"/>
        <s v="CUST6370"/>
        <s v="CUST9872"/>
        <s v="CUST9814"/>
        <s v="CUST7851"/>
        <s v="CUST6166"/>
        <s v="CUST2312"/>
        <s v="CUST8295"/>
        <s v="CUST4027"/>
        <s v="CUST3537"/>
        <s v="CUST2266"/>
        <s v="CUST6430"/>
        <s v="CUST6579"/>
        <s v="CUST4821"/>
        <s v="CUST9888"/>
        <s v="CUST7918"/>
        <s v="CUST2851"/>
        <s v="CUST6571"/>
        <s v="CUST7835"/>
        <s v="CUST4157"/>
        <s v="CUST9267"/>
        <s v="CUST4426"/>
        <s v="CUST4152"/>
        <s v="CUST3323"/>
        <s v="CUST4514"/>
        <s v="CUST8822"/>
        <s v="CUST7072"/>
        <s v="CUST2707"/>
        <s v="CUST3607"/>
        <s v="CUST9096"/>
        <s v="CUST8477"/>
        <s v="CUST9900"/>
        <s v="CUST4080"/>
        <s v="CUST9151"/>
        <s v="CUST7575"/>
        <s v="CUST2746"/>
        <s v="CUST3935"/>
        <s v="CUST1639"/>
        <s v="CUST7102"/>
        <s v="CUST8425"/>
        <s v="CUST2405"/>
        <s v="CUST4869"/>
        <s v="CUST7819"/>
        <s v="CUST7600"/>
        <s v="CUST1230"/>
        <s v="CUST8814"/>
        <s v="CUST7726"/>
        <s v="CUST4069"/>
        <s v="CUST5716"/>
        <s v="CUST1173"/>
        <s v="CUST2080"/>
        <s v="CUST5054"/>
        <s v="CUST4118"/>
        <s v="CUST4865"/>
        <s v="CUST5393"/>
        <s v="CUST5372"/>
        <s v="CUST8951"/>
        <s v="CUST8830"/>
        <s v="CUST5257"/>
        <s v="CUST7901"/>
        <s v="CUST7200"/>
        <s v="CUST8800"/>
        <s v="CUST2651"/>
        <s v="CUST7740"/>
        <s v="CUST4539"/>
        <s v="CUST4699"/>
        <s v="CUST7428"/>
        <s v="CUST3691"/>
        <s v="CUST4032"/>
        <s v="CUST2123"/>
        <s v="CUST5753"/>
        <s v="CUST2204"/>
        <s v="CUST1809"/>
        <s v="CUST5490"/>
        <s v="CUST7895"/>
        <s v="CUST7591"/>
        <s v="CUST6234"/>
        <s v="CUST6387"/>
        <s v="CUST2922"/>
        <s v="CUST1599"/>
        <s v="CUST6413"/>
        <s v="CUST7702"/>
        <s v="CUST1681"/>
        <s v="CUST8724"/>
        <s v="CUST9215"/>
        <s v="CUST8859"/>
        <s v="CUST9973"/>
        <s v="CUST2229"/>
        <s v="CUST9636"/>
        <s v="CUST6269"/>
        <s v="CUST8939"/>
        <s v="CUST5448"/>
        <s v="CUST2712"/>
        <s v="CUST1272"/>
        <s v="CUST4028"/>
        <s v="CUST2600"/>
        <s v="CUST3882"/>
        <s v="CUST4928"/>
        <s v="CUST1488"/>
        <s v="CUST7386"/>
        <s v="CUST3808"/>
        <s v="CUST6767"/>
        <s v="CUST5877"/>
        <s v="CUST8285"/>
        <s v="CUST2167"/>
        <s v="CUST3368"/>
        <s v="CUST1839"/>
        <s v="CUST8097"/>
        <s v="CUST2140"/>
        <s v="CUST2660"/>
        <s v="CUST1736"/>
        <s v="CUST3275"/>
        <s v="CUST3115"/>
        <s v="CUST6530"/>
        <s v="CUST9851"/>
        <s v="CUST8353"/>
        <s v="CUST7889"/>
        <s v="CUST9333"/>
        <s v="CUST4364"/>
        <s v="CUST7989"/>
        <s v="CUST9646"/>
        <s v="CUST2662"/>
        <s v="CUST6233"/>
        <s v="CUST5453"/>
        <s v="CUST9437"/>
        <s v="CUST6551"/>
        <s v="CUST8227"/>
        <s v="CUST8272"/>
        <s v="CUST8667"/>
        <s v="CUST6328"/>
        <s v="CUST2177"/>
        <s v="CUST2686"/>
        <s v="CUST6610"/>
        <s v="CUST2725"/>
        <s v="CUST7224"/>
        <s v="CUST7820"/>
        <s v="CUST3592"/>
        <s v="CUST6153"/>
        <s v="CUST6658"/>
        <s v="CUST1759"/>
        <s v="CUST8061"/>
        <s v="CUST2526"/>
        <s v="CUST8703"/>
        <s v="CUST5457"/>
        <s v="CUST5795"/>
        <s v="CUST7000"/>
        <s v="CUST7322"/>
        <s v="CUST7516"/>
        <s v="CUST8119"/>
        <s v="CUST2774"/>
        <s v="CUST2875"/>
        <s v="CUST7859"/>
        <s v="CUST9004"/>
        <s v="CUST2658"/>
        <s v="CUST7677"/>
        <s v="CUST8400"/>
        <s v="CUST1771"/>
        <s v="CUST6469"/>
        <s v="CUST6594"/>
        <s v="CUST9180"/>
        <s v="CUST8012"/>
        <s v="CUST4749"/>
        <s v="CUST6580"/>
        <s v="CUST9896"/>
        <s v="CUST4920"/>
        <s v="CUST4636"/>
        <s v="CUST6171"/>
        <s v="CUST6993"/>
        <s v="CUST3453"/>
        <s v="CUST6518"/>
        <s v="CUST3425"/>
        <s v="CUST5507"/>
        <s v="CUST1685"/>
        <s v="CUST7296"/>
        <s v="CUST2455"/>
        <s v="CUST7019"/>
        <s v="CUST7994"/>
        <s v="CUST2122"/>
        <s v="CUST8054"/>
        <s v="CUST9570"/>
        <s v="CUST1558"/>
        <s v="CUST8493"/>
        <s v="CUST2450"/>
        <s v="CUST8605"/>
        <s v="CUST8094"/>
        <s v="CUST7805"/>
        <s v="CUST9932"/>
        <s v="CUST7999"/>
        <s v="CUST4285"/>
        <s v="CUST4150"/>
        <s v="CUST4259"/>
        <s v="CUST3618"/>
        <s v="CUST1407"/>
        <s v="CUST4876"/>
        <s v="CUST4450"/>
        <s v="CUST4044"/>
      </sharedItems>
    </cacheField>
    <cacheField name="Customer_Name" numFmtId="0">
      <sharedItems count="12">
        <s v="Vikram"/>
        <s v="Neha"/>
        <s v="Karan"/>
        <s v="Aarav"/>
        <s v="Ananya"/>
        <s v="Diya"/>
        <s v="Pooja"/>
        <s v="Isha"/>
        <s v="Sneha"/>
        <s v="Rohan"/>
        <s v="Amit"/>
        <s v="Rahul"/>
      </sharedItems>
    </cacheField>
    <cacheField name="Product" numFmtId="0">
      <sharedItems count="6">
        <s v="Desk"/>
        <s v="Laptop"/>
        <s v="Headphones"/>
        <s v="Office Chair"/>
        <s v="Mobile Phone"/>
        <s v="Tablet"/>
      </sharedItems>
    </cacheField>
    <cacheField name="Category" numFmtId="0">
      <sharedItems count="3">
        <s v="Furniture"/>
        <s v="Electronics"/>
        <s v="Accessories"/>
      </sharedItems>
    </cacheField>
    <cacheField name="Quantity" numFmtId="0">
      <sharedItems containsSemiMixedTypes="0" containsString="0" containsNumber="1" containsInteger="1" minValue="1" maxValue="6" count="6">
        <n v="5"/>
        <n v="2"/>
        <n v="1"/>
        <n v="4"/>
        <n v="6"/>
        <n v="3"/>
      </sharedItems>
    </cacheField>
    <cacheField name="Unit_Price" numFmtId="0">
      <sharedItems containsSemiMixedTypes="0" containsString="0" containsNumber="1" containsInteger="1" minValue="90" maxValue="750" count="6">
        <n v="300"/>
        <n v="750"/>
        <n v="90"/>
        <n v="150"/>
        <n v="550"/>
        <n v="400"/>
      </sharedItems>
    </cacheField>
    <cacheField name="Total_Sales" numFmtId="0">
      <sharedItems containsSemiMixedTypes="0" containsString="0" containsNumber="1" containsInteger="1" minValue="90" maxValue="4500" count="29">
        <n v="1500"/>
        <n v="450"/>
        <n v="750"/>
        <n v="600"/>
        <n v="3000"/>
        <n v="1100"/>
        <n v="300"/>
        <n v="1200"/>
        <n v="1800"/>
        <n v="800"/>
        <n v="150"/>
        <n v="90"/>
        <n v="3750"/>
        <n v="270"/>
        <n v="900"/>
        <n v="2200"/>
        <n v="1600"/>
        <n v="400"/>
        <n v="360"/>
        <n v="550"/>
        <n v="2400"/>
        <n v="2000"/>
        <n v="1650"/>
        <n v="540"/>
        <n v="2750"/>
        <n v="3300"/>
        <n v="4500"/>
        <n v="2250"/>
        <n v="180"/>
      </sharedItems>
    </cacheField>
    <cacheField name="City" numFmtId="0">
      <sharedItems count="6">
        <s v="Mumbai"/>
        <s v="Hyderabad"/>
        <s v="Chennai"/>
        <s v="Pune"/>
        <s v="Bangalore"/>
        <s v="Delhi"/>
      </sharedItems>
    </cacheField>
    <cacheField name="Payment_Mode" numFmtId="0">
      <sharedItems count="5">
        <s v="Cash"/>
        <s v="Net Banking"/>
        <s v="UPI"/>
        <s v="Debit Card"/>
        <s v="Credit Card"/>
      </sharedItems>
    </cacheField>
    <cacheField name="Order_Status" numFmtId="0">
      <sharedItems count="3">
        <s v="Completed"/>
        <s v="Cancelled"/>
        <s v="Pending"/>
      </sharedItems>
    </cacheField>
  </cacheFields>
  <extLst>
    <ext xmlns:x14="http://schemas.microsoft.com/office/spreadsheetml/2009/9/main" uri="{725AE2AE-9491-48be-B2B4-4EB974FC3084}">
      <x14:pivotCacheDefinition pivotCacheId="1121515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x v="0"/>
    <x v="0"/>
    <x v="0"/>
    <x v="0"/>
    <x v="0"/>
    <x v="0"/>
    <x v="0"/>
    <x v="0"/>
    <x v="0"/>
    <x v="0"/>
    <x v="0"/>
    <x v="0"/>
  </r>
  <r>
    <x v="1"/>
    <x v="1"/>
    <x v="1"/>
    <x v="1"/>
    <x v="1"/>
    <x v="1"/>
    <x v="1"/>
    <x v="1"/>
    <x v="0"/>
    <x v="1"/>
    <x v="1"/>
    <x v="0"/>
  </r>
  <r>
    <x v="2"/>
    <x v="2"/>
    <x v="2"/>
    <x v="2"/>
    <x v="2"/>
    <x v="2"/>
    <x v="0"/>
    <x v="2"/>
    <x v="1"/>
    <x v="0"/>
    <x v="2"/>
    <x v="0"/>
  </r>
  <r>
    <x v="3"/>
    <x v="3"/>
    <x v="3"/>
    <x v="3"/>
    <x v="0"/>
    <x v="0"/>
    <x v="0"/>
    <x v="0"/>
    <x v="0"/>
    <x v="2"/>
    <x v="1"/>
    <x v="1"/>
  </r>
  <r>
    <x v="4"/>
    <x v="4"/>
    <x v="4"/>
    <x v="4"/>
    <x v="0"/>
    <x v="0"/>
    <x v="0"/>
    <x v="0"/>
    <x v="0"/>
    <x v="2"/>
    <x v="0"/>
    <x v="1"/>
  </r>
  <r>
    <x v="5"/>
    <x v="5"/>
    <x v="5"/>
    <x v="5"/>
    <x v="1"/>
    <x v="1"/>
    <x v="2"/>
    <x v="1"/>
    <x v="2"/>
    <x v="3"/>
    <x v="0"/>
    <x v="1"/>
  </r>
  <r>
    <x v="6"/>
    <x v="6"/>
    <x v="6"/>
    <x v="2"/>
    <x v="3"/>
    <x v="0"/>
    <x v="3"/>
    <x v="3"/>
    <x v="3"/>
    <x v="0"/>
    <x v="3"/>
    <x v="2"/>
  </r>
  <r>
    <x v="7"/>
    <x v="7"/>
    <x v="7"/>
    <x v="5"/>
    <x v="1"/>
    <x v="1"/>
    <x v="3"/>
    <x v="1"/>
    <x v="4"/>
    <x v="3"/>
    <x v="0"/>
    <x v="0"/>
  </r>
  <r>
    <x v="8"/>
    <x v="8"/>
    <x v="8"/>
    <x v="6"/>
    <x v="4"/>
    <x v="1"/>
    <x v="1"/>
    <x v="4"/>
    <x v="5"/>
    <x v="3"/>
    <x v="1"/>
    <x v="2"/>
  </r>
  <r>
    <x v="9"/>
    <x v="9"/>
    <x v="9"/>
    <x v="3"/>
    <x v="0"/>
    <x v="0"/>
    <x v="2"/>
    <x v="0"/>
    <x v="6"/>
    <x v="0"/>
    <x v="3"/>
    <x v="1"/>
  </r>
  <r>
    <x v="10"/>
    <x v="10"/>
    <x v="10"/>
    <x v="7"/>
    <x v="3"/>
    <x v="0"/>
    <x v="0"/>
    <x v="3"/>
    <x v="2"/>
    <x v="4"/>
    <x v="2"/>
    <x v="0"/>
  </r>
  <r>
    <x v="11"/>
    <x v="11"/>
    <x v="11"/>
    <x v="7"/>
    <x v="0"/>
    <x v="0"/>
    <x v="1"/>
    <x v="0"/>
    <x v="3"/>
    <x v="3"/>
    <x v="4"/>
    <x v="0"/>
  </r>
  <r>
    <x v="12"/>
    <x v="7"/>
    <x v="12"/>
    <x v="0"/>
    <x v="2"/>
    <x v="2"/>
    <x v="0"/>
    <x v="2"/>
    <x v="1"/>
    <x v="5"/>
    <x v="3"/>
    <x v="2"/>
  </r>
  <r>
    <x v="13"/>
    <x v="12"/>
    <x v="13"/>
    <x v="8"/>
    <x v="1"/>
    <x v="1"/>
    <x v="2"/>
    <x v="1"/>
    <x v="2"/>
    <x v="3"/>
    <x v="0"/>
    <x v="2"/>
  </r>
  <r>
    <x v="14"/>
    <x v="13"/>
    <x v="14"/>
    <x v="8"/>
    <x v="1"/>
    <x v="1"/>
    <x v="2"/>
    <x v="1"/>
    <x v="2"/>
    <x v="3"/>
    <x v="0"/>
    <x v="1"/>
  </r>
  <r>
    <x v="15"/>
    <x v="14"/>
    <x v="15"/>
    <x v="5"/>
    <x v="0"/>
    <x v="0"/>
    <x v="3"/>
    <x v="0"/>
    <x v="7"/>
    <x v="5"/>
    <x v="4"/>
    <x v="0"/>
  </r>
  <r>
    <x v="16"/>
    <x v="15"/>
    <x v="16"/>
    <x v="9"/>
    <x v="1"/>
    <x v="1"/>
    <x v="3"/>
    <x v="1"/>
    <x v="4"/>
    <x v="4"/>
    <x v="2"/>
    <x v="2"/>
  </r>
  <r>
    <x v="17"/>
    <x v="16"/>
    <x v="17"/>
    <x v="0"/>
    <x v="0"/>
    <x v="0"/>
    <x v="4"/>
    <x v="0"/>
    <x v="8"/>
    <x v="4"/>
    <x v="1"/>
    <x v="1"/>
  </r>
  <r>
    <x v="18"/>
    <x v="17"/>
    <x v="18"/>
    <x v="7"/>
    <x v="3"/>
    <x v="0"/>
    <x v="3"/>
    <x v="3"/>
    <x v="3"/>
    <x v="3"/>
    <x v="3"/>
    <x v="1"/>
  </r>
  <r>
    <x v="19"/>
    <x v="18"/>
    <x v="19"/>
    <x v="10"/>
    <x v="5"/>
    <x v="1"/>
    <x v="1"/>
    <x v="5"/>
    <x v="9"/>
    <x v="3"/>
    <x v="1"/>
    <x v="1"/>
  </r>
  <r>
    <x v="20"/>
    <x v="19"/>
    <x v="20"/>
    <x v="1"/>
    <x v="0"/>
    <x v="0"/>
    <x v="1"/>
    <x v="0"/>
    <x v="3"/>
    <x v="5"/>
    <x v="2"/>
    <x v="1"/>
  </r>
  <r>
    <x v="21"/>
    <x v="20"/>
    <x v="21"/>
    <x v="4"/>
    <x v="3"/>
    <x v="0"/>
    <x v="2"/>
    <x v="3"/>
    <x v="10"/>
    <x v="2"/>
    <x v="2"/>
    <x v="0"/>
  </r>
  <r>
    <x v="22"/>
    <x v="21"/>
    <x v="22"/>
    <x v="6"/>
    <x v="0"/>
    <x v="0"/>
    <x v="4"/>
    <x v="0"/>
    <x v="8"/>
    <x v="0"/>
    <x v="2"/>
    <x v="0"/>
  </r>
  <r>
    <x v="23"/>
    <x v="22"/>
    <x v="23"/>
    <x v="2"/>
    <x v="2"/>
    <x v="2"/>
    <x v="2"/>
    <x v="2"/>
    <x v="11"/>
    <x v="5"/>
    <x v="0"/>
    <x v="1"/>
  </r>
  <r>
    <x v="24"/>
    <x v="23"/>
    <x v="24"/>
    <x v="8"/>
    <x v="1"/>
    <x v="1"/>
    <x v="2"/>
    <x v="1"/>
    <x v="2"/>
    <x v="5"/>
    <x v="0"/>
    <x v="2"/>
  </r>
  <r>
    <x v="25"/>
    <x v="2"/>
    <x v="25"/>
    <x v="10"/>
    <x v="1"/>
    <x v="1"/>
    <x v="0"/>
    <x v="1"/>
    <x v="12"/>
    <x v="1"/>
    <x v="3"/>
    <x v="1"/>
  </r>
  <r>
    <x v="26"/>
    <x v="24"/>
    <x v="26"/>
    <x v="8"/>
    <x v="5"/>
    <x v="1"/>
    <x v="1"/>
    <x v="5"/>
    <x v="9"/>
    <x v="1"/>
    <x v="4"/>
    <x v="0"/>
  </r>
  <r>
    <x v="27"/>
    <x v="25"/>
    <x v="27"/>
    <x v="3"/>
    <x v="1"/>
    <x v="1"/>
    <x v="2"/>
    <x v="1"/>
    <x v="2"/>
    <x v="0"/>
    <x v="2"/>
    <x v="1"/>
  </r>
  <r>
    <x v="28"/>
    <x v="26"/>
    <x v="28"/>
    <x v="6"/>
    <x v="2"/>
    <x v="2"/>
    <x v="5"/>
    <x v="2"/>
    <x v="13"/>
    <x v="0"/>
    <x v="3"/>
    <x v="1"/>
  </r>
  <r>
    <x v="29"/>
    <x v="27"/>
    <x v="29"/>
    <x v="4"/>
    <x v="0"/>
    <x v="0"/>
    <x v="2"/>
    <x v="0"/>
    <x v="6"/>
    <x v="2"/>
    <x v="0"/>
    <x v="1"/>
  </r>
  <r>
    <x v="30"/>
    <x v="28"/>
    <x v="30"/>
    <x v="10"/>
    <x v="1"/>
    <x v="1"/>
    <x v="1"/>
    <x v="1"/>
    <x v="0"/>
    <x v="5"/>
    <x v="2"/>
    <x v="2"/>
  </r>
  <r>
    <x v="31"/>
    <x v="29"/>
    <x v="31"/>
    <x v="10"/>
    <x v="1"/>
    <x v="1"/>
    <x v="0"/>
    <x v="1"/>
    <x v="12"/>
    <x v="0"/>
    <x v="0"/>
    <x v="2"/>
  </r>
  <r>
    <x v="32"/>
    <x v="30"/>
    <x v="32"/>
    <x v="11"/>
    <x v="0"/>
    <x v="0"/>
    <x v="0"/>
    <x v="0"/>
    <x v="0"/>
    <x v="2"/>
    <x v="1"/>
    <x v="0"/>
  </r>
  <r>
    <x v="33"/>
    <x v="31"/>
    <x v="33"/>
    <x v="9"/>
    <x v="1"/>
    <x v="1"/>
    <x v="3"/>
    <x v="1"/>
    <x v="4"/>
    <x v="5"/>
    <x v="1"/>
    <x v="1"/>
  </r>
  <r>
    <x v="34"/>
    <x v="32"/>
    <x v="34"/>
    <x v="9"/>
    <x v="0"/>
    <x v="0"/>
    <x v="5"/>
    <x v="0"/>
    <x v="14"/>
    <x v="2"/>
    <x v="0"/>
    <x v="2"/>
  </r>
  <r>
    <x v="35"/>
    <x v="33"/>
    <x v="35"/>
    <x v="3"/>
    <x v="3"/>
    <x v="0"/>
    <x v="1"/>
    <x v="3"/>
    <x v="6"/>
    <x v="3"/>
    <x v="4"/>
    <x v="2"/>
  </r>
  <r>
    <x v="36"/>
    <x v="34"/>
    <x v="36"/>
    <x v="11"/>
    <x v="4"/>
    <x v="1"/>
    <x v="3"/>
    <x v="4"/>
    <x v="15"/>
    <x v="2"/>
    <x v="2"/>
    <x v="2"/>
  </r>
  <r>
    <x v="37"/>
    <x v="35"/>
    <x v="37"/>
    <x v="1"/>
    <x v="5"/>
    <x v="1"/>
    <x v="3"/>
    <x v="5"/>
    <x v="16"/>
    <x v="1"/>
    <x v="2"/>
    <x v="1"/>
  </r>
  <r>
    <x v="38"/>
    <x v="36"/>
    <x v="38"/>
    <x v="8"/>
    <x v="5"/>
    <x v="1"/>
    <x v="2"/>
    <x v="5"/>
    <x v="17"/>
    <x v="0"/>
    <x v="2"/>
    <x v="2"/>
  </r>
  <r>
    <x v="39"/>
    <x v="37"/>
    <x v="39"/>
    <x v="11"/>
    <x v="2"/>
    <x v="2"/>
    <x v="3"/>
    <x v="2"/>
    <x v="18"/>
    <x v="0"/>
    <x v="2"/>
    <x v="2"/>
  </r>
  <r>
    <x v="40"/>
    <x v="38"/>
    <x v="40"/>
    <x v="3"/>
    <x v="1"/>
    <x v="1"/>
    <x v="3"/>
    <x v="1"/>
    <x v="4"/>
    <x v="0"/>
    <x v="1"/>
    <x v="0"/>
  </r>
  <r>
    <x v="41"/>
    <x v="39"/>
    <x v="41"/>
    <x v="0"/>
    <x v="0"/>
    <x v="0"/>
    <x v="3"/>
    <x v="0"/>
    <x v="7"/>
    <x v="4"/>
    <x v="1"/>
    <x v="1"/>
  </r>
  <r>
    <x v="42"/>
    <x v="23"/>
    <x v="42"/>
    <x v="8"/>
    <x v="5"/>
    <x v="1"/>
    <x v="5"/>
    <x v="5"/>
    <x v="7"/>
    <x v="4"/>
    <x v="3"/>
    <x v="2"/>
  </r>
  <r>
    <x v="43"/>
    <x v="40"/>
    <x v="43"/>
    <x v="3"/>
    <x v="1"/>
    <x v="1"/>
    <x v="1"/>
    <x v="1"/>
    <x v="0"/>
    <x v="3"/>
    <x v="4"/>
    <x v="0"/>
  </r>
  <r>
    <x v="44"/>
    <x v="38"/>
    <x v="44"/>
    <x v="9"/>
    <x v="5"/>
    <x v="1"/>
    <x v="2"/>
    <x v="5"/>
    <x v="17"/>
    <x v="3"/>
    <x v="0"/>
    <x v="0"/>
  </r>
  <r>
    <x v="45"/>
    <x v="41"/>
    <x v="45"/>
    <x v="10"/>
    <x v="1"/>
    <x v="1"/>
    <x v="3"/>
    <x v="1"/>
    <x v="4"/>
    <x v="1"/>
    <x v="2"/>
    <x v="2"/>
  </r>
  <r>
    <x v="46"/>
    <x v="42"/>
    <x v="46"/>
    <x v="0"/>
    <x v="1"/>
    <x v="1"/>
    <x v="0"/>
    <x v="1"/>
    <x v="12"/>
    <x v="0"/>
    <x v="0"/>
    <x v="2"/>
  </r>
  <r>
    <x v="47"/>
    <x v="43"/>
    <x v="47"/>
    <x v="5"/>
    <x v="5"/>
    <x v="1"/>
    <x v="1"/>
    <x v="5"/>
    <x v="9"/>
    <x v="3"/>
    <x v="3"/>
    <x v="0"/>
  </r>
  <r>
    <x v="48"/>
    <x v="44"/>
    <x v="48"/>
    <x v="3"/>
    <x v="0"/>
    <x v="0"/>
    <x v="0"/>
    <x v="0"/>
    <x v="0"/>
    <x v="3"/>
    <x v="2"/>
    <x v="0"/>
  </r>
  <r>
    <x v="49"/>
    <x v="45"/>
    <x v="49"/>
    <x v="5"/>
    <x v="4"/>
    <x v="1"/>
    <x v="1"/>
    <x v="4"/>
    <x v="5"/>
    <x v="5"/>
    <x v="4"/>
    <x v="0"/>
  </r>
  <r>
    <x v="50"/>
    <x v="46"/>
    <x v="50"/>
    <x v="5"/>
    <x v="3"/>
    <x v="0"/>
    <x v="0"/>
    <x v="3"/>
    <x v="2"/>
    <x v="3"/>
    <x v="4"/>
    <x v="0"/>
  </r>
  <r>
    <x v="51"/>
    <x v="47"/>
    <x v="51"/>
    <x v="6"/>
    <x v="4"/>
    <x v="1"/>
    <x v="2"/>
    <x v="4"/>
    <x v="19"/>
    <x v="1"/>
    <x v="3"/>
    <x v="2"/>
  </r>
  <r>
    <x v="52"/>
    <x v="48"/>
    <x v="52"/>
    <x v="11"/>
    <x v="1"/>
    <x v="1"/>
    <x v="1"/>
    <x v="1"/>
    <x v="0"/>
    <x v="2"/>
    <x v="3"/>
    <x v="2"/>
  </r>
  <r>
    <x v="53"/>
    <x v="49"/>
    <x v="53"/>
    <x v="10"/>
    <x v="3"/>
    <x v="0"/>
    <x v="4"/>
    <x v="3"/>
    <x v="14"/>
    <x v="4"/>
    <x v="1"/>
    <x v="2"/>
  </r>
  <r>
    <x v="54"/>
    <x v="50"/>
    <x v="54"/>
    <x v="6"/>
    <x v="5"/>
    <x v="1"/>
    <x v="1"/>
    <x v="5"/>
    <x v="9"/>
    <x v="4"/>
    <x v="1"/>
    <x v="1"/>
  </r>
  <r>
    <x v="55"/>
    <x v="51"/>
    <x v="55"/>
    <x v="6"/>
    <x v="0"/>
    <x v="0"/>
    <x v="5"/>
    <x v="0"/>
    <x v="14"/>
    <x v="3"/>
    <x v="4"/>
    <x v="1"/>
  </r>
  <r>
    <x v="56"/>
    <x v="30"/>
    <x v="56"/>
    <x v="9"/>
    <x v="2"/>
    <x v="2"/>
    <x v="2"/>
    <x v="2"/>
    <x v="11"/>
    <x v="0"/>
    <x v="1"/>
    <x v="1"/>
  </r>
  <r>
    <x v="57"/>
    <x v="45"/>
    <x v="57"/>
    <x v="5"/>
    <x v="5"/>
    <x v="1"/>
    <x v="4"/>
    <x v="5"/>
    <x v="20"/>
    <x v="0"/>
    <x v="4"/>
    <x v="0"/>
  </r>
  <r>
    <x v="58"/>
    <x v="52"/>
    <x v="58"/>
    <x v="7"/>
    <x v="5"/>
    <x v="1"/>
    <x v="5"/>
    <x v="5"/>
    <x v="7"/>
    <x v="5"/>
    <x v="1"/>
    <x v="2"/>
  </r>
  <r>
    <x v="59"/>
    <x v="53"/>
    <x v="59"/>
    <x v="6"/>
    <x v="5"/>
    <x v="1"/>
    <x v="0"/>
    <x v="5"/>
    <x v="21"/>
    <x v="4"/>
    <x v="4"/>
    <x v="2"/>
  </r>
  <r>
    <x v="60"/>
    <x v="54"/>
    <x v="60"/>
    <x v="8"/>
    <x v="0"/>
    <x v="0"/>
    <x v="4"/>
    <x v="0"/>
    <x v="8"/>
    <x v="4"/>
    <x v="2"/>
    <x v="2"/>
  </r>
  <r>
    <x v="61"/>
    <x v="55"/>
    <x v="61"/>
    <x v="1"/>
    <x v="2"/>
    <x v="2"/>
    <x v="2"/>
    <x v="2"/>
    <x v="11"/>
    <x v="0"/>
    <x v="4"/>
    <x v="1"/>
  </r>
  <r>
    <x v="62"/>
    <x v="56"/>
    <x v="62"/>
    <x v="6"/>
    <x v="4"/>
    <x v="1"/>
    <x v="5"/>
    <x v="4"/>
    <x v="22"/>
    <x v="3"/>
    <x v="1"/>
    <x v="0"/>
  </r>
  <r>
    <x v="63"/>
    <x v="57"/>
    <x v="63"/>
    <x v="11"/>
    <x v="0"/>
    <x v="0"/>
    <x v="0"/>
    <x v="0"/>
    <x v="0"/>
    <x v="5"/>
    <x v="2"/>
    <x v="2"/>
  </r>
  <r>
    <x v="64"/>
    <x v="58"/>
    <x v="64"/>
    <x v="0"/>
    <x v="2"/>
    <x v="2"/>
    <x v="5"/>
    <x v="2"/>
    <x v="13"/>
    <x v="5"/>
    <x v="0"/>
    <x v="0"/>
  </r>
  <r>
    <x v="65"/>
    <x v="59"/>
    <x v="65"/>
    <x v="6"/>
    <x v="4"/>
    <x v="1"/>
    <x v="2"/>
    <x v="4"/>
    <x v="19"/>
    <x v="1"/>
    <x v="3"/>
    <x v="2"/>
  </r>
  <r>
    <x v="66"/>
    <x v="60"/>
    <x v="66"/>
    <x v="11"/>
    <x v="3"/>
    <x v="0"/>
    <x v="1"/>
    <x v="3"/>
    <x v="6"/>
    <x v="4"/>
    <x v="2"/>
    <x v="1"/>
  </r>
  <r>
    <x v="67"/>
    <x v="61"/>
    <x v="67"/>
    <x v="9"/>
    <x v="4"/>
    <x v="1"/>
    <x v="1"/>
    <x v="4"/>
    <x v="5"/>
    <x v="4"/>
    <x v="1"/>
    <x v="0"/>
  </r>
  <r>
    <x v="68"/>
    <x v="62"/>
    <x v="68"/>
    <x v="5"/>
    <x v="5"/>
    <x v="1"/>
    <x v="4"/>
    <x v="5"/>
    <x v="20"/>
    <x v="3"/>
    <x v="1"/>
    <x v="0"/>
  </r>
  <r>
    <x v="69"/>
    <x v="63"/>
    <x v="69"/>
    <x v="5"/>
    <x v="3"/>
    <x v="0"/>
    <x v="0"/>
    <x v="3"/>
    <x v="2"/>
    <x v="0"/>
    <x v="4"/>
    <x v="1"/>
  </r>
  <r>
    <x v="70"/>
    <x v="64"/>
    <x v="70"/>
    <x v="2"/>
    <x v="5"/>
    <x v="1"/>
    <x v="4"/>
    <x v="5"/>
    <x v="20"/>
    <x v="5"/>
    <x v="4"/>
    <x v="2"/>
  </r>
  <r>
    <x v="71"/>
    <x v="65"/>
    <x v="71"/>
    <x v="5"/>
    <x v="2"/>
    <x v="2"/>
    <x v="4"/>
    <x v="2"/>
    <x v="23"/>
    <x v="2"/>
    <x v="4"/>
    <x v="2"/>
  </r>
  <r>
    <x v="72"/>
    <x v="66"/>
    <x v="72"/>
    <x v="9"/>
    <x v="1"/>
    <x v="1"/>
    <x v="1"/>
    <x v="1"/>
    <x v="0"/>
    <x v="4"/>
    <x v="4"/>
    <x v="2"/>
  </r>
  <r>
    <x v="73"/>
    <x v="67"/>
    <x v="73"/>
    <x v="9"/>
    <x v="4"/>
    <x v="1"/>
    <x v="0"/>
    <x v="4"/>
    <x v="24"/>
    <x v="5"/>
    <x v="1"/>
    <x v="0"/>
  </r>
  <r>
    <x v="74"/>
    <x v="68"/>
    <x v="74"/>
    <x v="1"/>
    <x v="4"/>
    <x v="1"/>
    <x v="2"/>
    <x v="4"/>
    <x v="19"/>
    <x v="0"/>
    <x v="4"/>
    <x v="0"/>
  </r>
  <r>
    <x v="75"/>
    <x v="69"/>
    <x v="75"/>
    <x v="0"/>
    <x v="3"/>
    <x v="0"/>
    <x v="5"/>
    <x v="3"/>
    <x v="1"/>
    <x v="1"/>
    <x v="3"/>
    <x v="1"/>
  </r>
  <r>
    <x v="76"/>
    <x v="70"/>
    <x v="76"/>
    <x v="1"/>
    <x v="4"/>
    <x v="1"/>
    <x v="3"/>
    <x v="4"/>
    <x v="15"/>
    <x v="4"/>
    <x v="1"/>
    <x v="2"/>
  </r>
  <r>
    <x v="77"/>
    <x v="71"/>
    <x v="77"/>
    <x v="10"/>
    <x v="5"/>
    <x v="1"/>
    <x v="0"/>
    <x v="5"/>
    <x v="21"/>
    <x v="3"/>
    <x v="1"/>
    <x v="2"/>
  </r>
  <r>
    <x v="78"/>
    <x v="58"/>
    <x v="78"/>
    <x v="0"/>
    <x v="2"/>
    <x v="2"/>
    <x v="0"/>
    <x v="2"/>
    <x v="1"/>
    <x v="2"/>
    <x v="3"/>
    <x v="0"/>
  </r>
  <r>
    <x v="79"/>
    <x v="72"/>
    <x v="79"/>
    <x v="3"/>
    <x v="3"/>
    <x v="0"/>
    <x v="4"/>
    <x v="3"/>
    <x v="14"/>
    <x v="1"/>
    <x v="0"/>
    <x v="2"/>
  </r>
  <r>
    <x v="80"/>
    <x v="73"/>
    <x v="80"/>
    <x v="3"/>
    <x v="0"/>
    <x v="0"/>
    <x v="3"/>
    <x v="0"/>
    <x v="7"/>
    <x v="2"/>
    <x v="0"/>
    <x v="0"/>
  </r>
  <r>
    <x v="81"/>
    <x v="74"/>
    <x v="81"/>
    <x v="1"/>
    <x v="3"/>
    <x v="0"/>
    <x v="5"/>
    <x v="3"/>
    <x v="1"/>
    <x v="0"/>
    <x v="2"/>
    <x v="2"/>
  </r>
  <r>
    <x v="82"/>
    <x v="75"/>
    <x v="82"/>
    <x v="6"/>
    <x v="0"/>
    <x v="0"/>
    <x v="2"/>
    <x v="0"/>
    <x v="6"/>
    <x v="5"/>
    <x v="0"/>
    <x v="1"/>
  </r>
  <r>
    <x v="83"/>
    <x v="76"/>
    <x v="83"/>
    <x v="1"/>
    <x v="1"/>
    <x v="1"/>
    <x v="1"/>
    <x v="1"/>
    <x v="0"/>
    <x v="4"/>
    <x v="4"/>
    <x v="1"/>
  </r>
  <r>
    <x v="84"/>
    <x v="77"/>
    <x v="84"/>
    <x v="0"/>
    <x v="4"/>
    <x v="1"/>
    <x v="5"/>
    <x v="4"/>
    <x v="22"/>
    <x v="2"/>
    <x v="3"/>
    <x v="0"/>
  </r>
  <r>
    <x v="85"/>
    <x v="78"/>
    <x v="85"/>
    <x v="5"/>
    <x v="4"/>
    <x v="1"/>
    <x v="1"/>
    <x v="4"/>
    <x v="5"/>
    <x v="5"/>
    <x v="0"/>
    <x v="2"/>
  </r>
  <r>
    <x v="86"/>
    <x v="79"/>
    <x v="86"/>
    <x v="11"/>
    <x v="1"/>
    <x v="1"/>
    <x v="2"/>
    <x v="1"/>
    <x v="2"/>
    <x v="2"/>
    <x v="4"/>
    <x v="1"/>
  </r>
  <r>
    <x v="87"/>
    <x v="10"/>
    <x v="87"/>
    <x v="4"/>
    <x v="5"/>
    <x v="1"/>
    <x v="2"/>
    <x v="5"/>
    <x v="17"/>
    <x v="5"/>
    <x v="4"/>
    <x v="1"/>
  </r>
  <r>
    <x v="88"/>
    <x v="0"/>
    <x v="88"/>
    <x v="3"/>
    <x v="4"/>
    <x v="1"/>
    <x v="4"/>
    <x v="4"/>
    <x v="25"/>
    <x v="5"/>
    <x v="4"/>
    <x v="0"/>
  </r>
  <r>
    <x v="89"/>
    <x v="80"/>
    <x v="89"/>
    <x v="5"/>
    <x v="4"/>
    <x v="1"/>
    <x v="5"/>
    <x v="4"/>
    <x v="22"/>
    <x v="0"/>
    <x v="4"/>
    <x v="0"/>
  </r>
  <r>
    <x v="90"/>
    <x v="43"/>
    <x v="90"/>
    <x v="2"/>
    <x v="2"/>
    <x v="2"/>
    <x v="2"/>
    <x v="2"/>
    <x v="11"/>
    <x v="3"/>
    <x v="1"/>
    <x v="2"/>
  </r>
  <r>
    <x v="91"/>
    <x v="81"/>
    <x v="91"/>
    <x v="2"/>
    <x v="3"/>
    <x v="0"/>
    <x v="4"/>
    <x v="3"/>
    <x v="14"/>
    <x v="4"/>
    <x v="4"/>
    <x v="1"/>
  </r>
  <r>
    <x v="92"/>
    <x v="82"/>
    <x v="92"/>
    <x v="1"/>
    <x v="0"/>
    <x v="0"/>
    <x v="5"/>
    <x v="0"/>
    <x v="14"/>
    <x v="3"/>
    <x v="2"/>
    <x v="2"/>
  </r>
  <r>
    <x v="93"/>
    <x v="83"/>
    <x v="93"/>
    <x v="0"/>
    <x v="4"/>
    <x v="1"/>
    <x v="3"/>
    <x v="4"/>
    <x v="15"/>
    <x v="1"/>
    <x v="4"/>
    <x v="0"/>
  </r>
  <r>
    <x v="94"/>
    <x v="83"/>
    <x v="94"/>
    <x v="7"/>
    <x v="3"/>
    <x v="0"/>
    <x v="0"/>
    <x v="3"/>
    <x v="2"/>
    <x v="0"/>
    <x v="3"/>
    <x v="0"/>
  </r>
  <r>
    <x v="95"/>
    <x v="9"/>
    <x v="95"/>
    <x v="4"/>
    <x v="5"/>
    <x v="1"/>
    <x v="2"/>
    <x v="5"/>
    <x v="17"/>
    <x v="4"/>
    <x v="1"/>
    <x v="2"/>
  </r>
  <r>
    <x v="96"/>
    <x v="82"/>
    <x v="96"/>
    <x v="4"/>
    <x v="1"/>
    <x v="1"/>
    <x v="2"/>
    <x v="1"/>
    <x v="2"/>
    <x v="4"/>
    <x v="1"/>
    <x v="2"/>
  </r>
  <r>
    <x v="97"/>
    <x v="84"/>
    <x v="97"/>
    <x v="2"/>
    <x v="0"/>
    <x v="0"/>
    <x v="5"/>
    <x v="0"/>
    <x v="14"/>
    <x v="4"/>
    <x v="1"/>
    <x v="0"/>
  </r>
  <r>
    <x v="98"/>
    <x v="51"/>
    <x v="98"/>
    <x v="4"/>
    <x v="3"/>
    <x v="0"/>
    <x v="5"/>
    <x v="3"/>
    <x v="1"/>
    <x v="4"/>
    <x v="1"/>
    <x v="1"/>
  </r>
  <r>
    <x v="99"/>
    <x v="85"/>
    <x v="99"/>
    <x v="10"/>
    <x v="3"/>
    <x v="0"/>
    <x v="0"/>
    <x v="3"/>
    <x v="2"/>
    <x v="2"/>
    <x v="1"/>
    <x v="0"/>
  </r>
  <r>
    <x v="100"/>
    <x v="86"/>
    <x v="100"/>
    <x v="6"/>
    <x v="3"/>
    <x v="0"/>
    <x v="2"/>
    <x v="3"/>
    <x v="10"/>
    <x v="0"/>
    <x v="2"/>
    <x v="2"/>
  </r>
  <r>
    <x v="101"/>
    <x v="87"/>
    <x v="101"/>
    <x v="6"/>
    <x v="1"/>
    <x v="1"/>
    <x v="3"/>
    <x v="1"/>
    <x v="4"/>
    <x v="5"/>
    <x v="0"/>
    <x v="2"/>
  </r>
  <r>
    <x v="102"/>
    <x v="88"/>
    <x v="102"/>
    <x v="10"/>
    <x v="0"/>
    <x v="0"/>
    <x v="1"/>
    <x v="0"/>
    <x v="3"/>
    <x v="0"/>
    <x v="3"/>
    <x v="1"/>
  </r>
  <r>
    <x v="103"/>
    <x v="89"/>
    <x v="103"/>
    <x v="2"/>
    <x v="5"/>
    <x v="1"/>
    <x v="4"/>
    <x v="5"/>
    <x v="20"/>
    <x v="1"/>
    <x v="0"/>
    <x v="0"/>
  </r>
  <r>
    <x v="104"/>
    <x v="90"/>
    <x v="104"/>
    <x v="3"/>
    <x v="5"/>
    <x v="1"/>
    <x v="4"/>
    <x v="5"/>
    <x v="20"/>
    <x v="0"/>
    <x v="4"/>
    <x v="2"/>
  </r>
  <r>
    <x v="105"/>
    <x v="91"/>
    <x v="105"/>
    <x v="7"/>
    <x v="5"/>
    <x v="1"/>
    <x v="4"/>
    <x v="5"/>
    <x v="20"/>
    <x v="1"/>
    <x v="3"/>
    <x v="2"/>
  </r>
  <r>
    <x v="106"/>
    <x v="92"/>
    <x v="106"/>
    <x v="3"/>
    <x v="3"/>
    <x v="0"/>
    <x v="2"/>
    <x v="3"/>
    <x v="10"/>
    <x v="0"/>
    <x v="2"/>
    <x v="1"/>
  </r>
  <r>
    <x v="107"/>
    <x v="53"/>
    <x v="107"/>
    <x v="2"/>
    <x v="1"/>
    <x v="1"/>
    <x v="1"/>
    <x v="1"/>
    <x v="0"/>
    <x v="5"/>
    <x v="2"/>
    <x v="2"/>
  </r>
  <r>
    <x v="108"/>
    <x v="93"/>
    <x v="108"/>
    <x v="1"/>
    <x v="5"/>
    <x v="1"/>
    <x v="1"/>
    <x v="5"/>
    <x v="9"/>
    <x v="3"/>
    <x v="0"/>
    <x v="0"/>
  </r>
  <r>
    <x v="109"/>
    <x v="94"/>
    <x v="109"/>
    <x v="5"/>
    <x v="5"/>
    <x v="1"/>
    <x v="0"/>
    <x v="5"/>
    <x v="21"/>
    <x v="1"/>
    <x v="0"/>
    <x v="1"/>
  </r>
  <r>
    <x v="110"/>
    <x v="95"/>
    <x v="110"/>
    <x v="5"/>
    <x v="1"/>
    <x v="1"/>
    <x v="2"/>
    <x v="1"/>
    <x v="2"/>
    <x v="3"/>
    <x v="2"/>
    <x v="1"/>
  </r>
  <r>
    <x v="111"/>
    <x v="96"/>
    <x v="111"/>
    <x v="2"/>
    <x v="4"/>
    <x v="1"/>
    <x v="1"/>
    <x v="4"/>
    <x v="5"/>
    <x v="0"/>
    <x v="0"/>
    <x v="1"/>
  </r>
  <r>
    <x v="112"/>
    <x v="22"/>
    <x v="112"/>
    <x v="0"/>
    <x v="1"/>
    <x v="1"/>
    <x v="3"/>
    <x v="1"/>
    <x v="4"/>
    <x v="1"/>
    <x v="2"/>
    <x v="1"/>
  </r>
  <r>
    <x v="113"/>
    <x v="97"/>
    <x v="113"/>
    <x v="9"/>
    <x v="3"/>
    <x v="0"/>
    <x v="4"/>
    <x v="3"/>
    <x v="14"/>
    <x v="3"/>
    <x v="4"/>
    <x v="2"/>
  </r>
  <r>
    <x v="114"/>
    <x v="98"/>
    <x v="114"/>
    <x v="6"/>
    <x v="1"/>
    <x v="1"/>
    <x v="2"/>
    <x v="1"/>
    <x v="2"/>
    <x v="1"/>
    <x v="1"/>
    <x v="1"/>
  </r>
  <r>
    <x v="115"/>
    <x v="61"/>
    <x v="115"/>
    <x v="2"/>
    <x v="0"/>
    <x v="0"/>
    <x v="3"/>
    <x v="0"/>
    <x v="7"/>
    <x v="2"/>
    <x v="4"/>
    <x v="2"/>
  </r>
  <r>
    <x v="116"/>
    <x v="99"/>
    <x v="116"/>
    <x v="4"/>
    <x v="0"/>
    <x v="0"/>
    <x v="3"/>
    <x v="0"/>
    <x v="7"/>
    <x v="3"/>
    <x v="2"/>
    <x v="1"/>
  </r>
  <r>
    <x v="117"/>
    <x v="37"/>
    <x v="117"/>
    <x v="1"/>
    <x v="0"/>
    <x v="0"/>
    <x v="1"/>
    <x v="0"/>
    <x v="3"/>
    <x v="4"/>
    <x v="3"/>
    <x v="0"/>
  </r>
  <r>
    <x v="118"/>
    <x v="100"/>
    <x v="118"/>
    <x v="3"/>
    <x v="5"/>
    <x v="1"/>
    <x v="0"/>
    <x v="5"/>
    <x v="21"/>
    <x v="4"/>
    <x v="0"/>
    <x v="1"/>
  </r>
  <r>
    <x v="119"/>
    <x v="101"/>
    <x v="119"/>
    <x v="4"/>
    <x v="2"/>
    <x v="2"/>
    <x v="5"/>
    <x v="2"/>
    <x v="13"/>
    <x v="1"/>
    <x v="1"/>
    <x v="2"/>
  </r>
  <r>
    <x v="120"/>
    <x v="102"/>
    <x v="51"/>
    <x v="0"/>
    <x v="1"/>
    <x v="1"/>
    <x v="0"/>
    <x v="1"/>
    <x v="12"/>
    <x v="4"/>
    <x v="1"/>
    <x v="2"/>
  </r>
  <r>
    <x v="121"/>
    <x v="54"/>
    <x v="120"/>
    <x v="2"/>
    <x v="1"/>
    <x v="1"/>
    <x v="2"/>
    <x v="1"/>
    <x v="2"/>
    <x v="0"/>
    <x v="4"/>
    <x v="1"/>
  </r>
  <r>
    <x v="122"/>
    <x v="103"/>
    <x v="121"/>
    <x v="6"/>
    <x v="0"/>
    <x v="0"/>
    <x v="3"/>
    <x v="0"/>
    <x v="7"/>
    <x v="3"/>
    <x v="0"/>
    <x v="1"/>
  </r>
  <r>
    <x v="123"/>
    <x v="89"/>
    <x v="122"/>
    <x v="2"/>
    <x v="3"/>
    <x v="0"/>
    <x v="5"/>
    <x v="3"/>
    <x v="1"/>
    <x v="1"/>
    <x v="3"/>
    <x v="2"/>
  </r>
  <r>
    <x v="124"/>
    <x v="72"/>
    <x v="123"/>
    <x v="3"/>
    <x v="1"/>
    <x v="1"/>
    <x v="1"/>
    <x v="1"/>
    <x v="0"/>
    <x v="5"/>
    <x v="3"/>
    <x v="1"/>
  </r>
  <r>
    <x v="125"/>
    <x v="31"/>
    <x v="124"/>
    <x v="5"/>
    <x v="4"/>
    <x v="1"/>
    <x v="4"/>
    <x v="4"/>
    <x v="25"/>
    <x v="1"/>
    <x v="0"/>
    <x v="0"/>
  </r>
  <r>
    <x v="126"/>
    <x v="104"/>
    <x v="125"/>
    <x v="1"/>
    <x v="2"/>
    <x v="2"/>
    <x v="0"/>
    <x v="2"/>
    <x v="1"/>
    <x v="2"/>
    <x v="3"/>
    <x v="1"/>
  </r>
  <r>
    <x v="127"/>
    <x v="105"/>
    <x v="126"/>
    <x v="5"/>
    <x v="1"/>
    <x v="1"/>
    <x v="2"/>
    <x v="1"/>
    <x v="2"/>
    <x v="5"/>
    <x v="4"/>
    <x v="1"/>
  </r>
  <r>
    <x v="128"/>
    <x v="85"/>
    <x v="127"/>
    <x v="6"/>
    <x v="2"/>
    <x v="2"/>
    <x v="2"/>
    <x v="2"/>
    <x v="11"/>
    <x v="0"/>
    <x v="2"/>
    <x v="0"/>
  </r>
  <r>
    <x v="129"/>
    <x v="20"/>
    <x v="128"/>
    <x v="9"/>
    <x v="4"/>
    <x v="1"/>
    <x v="2"/>
    <x v="4"/>
    <x v="19"/>
    <x v="1"/>
    <x v="2"/>
    <x v="2"/>
  </r>
  <r>
    <x v="130"/>
    <x v="106"/>
    <x v="129"/>
    <x v="4"/>
    <x v="1"/>
    <x v="1"/>
    <x v="4"/>
    <x v="1"/>
    <x v="26"/>
    <x v="0"/>
    <x v="0"/>
    <x v="0"/>
  </r>
  <r>
    <x v="131"/>
    <x v="107"/>
    <x v="130"/>
    <x v="8"/>
    <x v="2"/>
    <x v="2"/>
    <x v="3"/>
    <x v="2"/>
    <x v="18"/>
    <x v="4"/>
    <x v="1"/>
    <x v="1"/>
  </r>
  <r>
    <x v="132"/>
    <x v="108"/>
    <x v="131"/>
    <x v="11"/>
    <x v="2"/>
    <x v="2"/>
    <x v="5"/>
    <x v="2"/>
    <x v="13"/>
    <x v="5"/>
    <x v="3"/>
    <x v="2"/>
  </r>
  <r>
    <x v="133"/>
    <x v="109"/>
    <x v="132"/>
    <x v="4"/>
    <x v="2"/>
    <x v="2"/>
    <x v="4"/>
    <x v="2"/>
    <x v="23"/>
    <x v="3"/>
    <x v="2"/>
    <x v="0"/>
  </r>
  <r>
    <x v="134"/>
    <x v="34"/>
    <x v="133"/>
    <x v="0"/>
    <x v="5"/>
    <x v="1"/>
    <x v="2"/>
    <x v="5"/>
    <x v="17"/>
    <x v="3"/>
    <x v="2"/>
    <x v="2"/>
  </r>
  <r>
    <x v="135"/>
    <x v="110"/>
    <x v="134"/>
    <x v="0"/>
    <x v="4"/>
    <x v="1"/>
    <x v="0"/>
    <x v="4"/>
    <x v="24"/>
    <x v="5"/>
    <x v="1"/>
    <x v="1"/>
  </r>
  <r>
    <x v="136"/>
    <x v="111"/>
    <x v="135"/>
    <x v="1"/>
    <x v="0"/>
    <x v="0"/>
    <x v="4"/>
    <x v="0"/>
    <x v="8"/>
    <x v="4"/>
    <x v="4"/>
    <x v="1"/>
  </r>
  <r>
    <x v="137"/>
    <x v="112"/>
    <x v="136"/>
    <x v="10"/>
    <x v="5"/>
    <x v="1"/>
    <x v="0"/>
    <x v="5"/>
    <x v="21"/>
    <x v="0"/>
    <x v="3"/>
    <x v="0"/>
  </r>
  <r>
    <x v="138"/>
    <x v="113"/>
    <x v="137"/>
    <x v="4"/>
    <x v="0"/>
    <x v="0"/>
    <x v="3"/>
    <x v="0"/>
    <x v="7"/>
    <x v="4"/>
    <x v="1"/>
    <x v="2"/>
  </r>
  <r>
    <x v="139"/>
    <x v="114"/>
    <x v="138"/>
    <x v="10"/>
    <x v="4"/>
    <x v="1"/>
    <x v="3"/>
    <x v="4"/>
    <x v="15"/>
    <x v="4"/>
    <x v="3"/>
    <x v="1"/>
  </r>
  <r>
    <x v="140"/>
    <x v="115"/>
    <x v="139"/>
    <x v="9"/>
    <x v="0"/>
    <x v="0"/>
    <x v="5"/>
    <x v="0"/>
    <x v="14"/>
    <x v="0"/>
    <x v="2"/>
    <x v="2"/>
  </r>
  <r>
    <x v="141"/>
    <x v="116"/>
    <x v="140"/>
    <x v="6"/>
    <x v="4"/>
    <x v="1"/>
    <x v="5"/>
    <x v="4"/>
    <x v="22"/>
    <x v="3"/>
    <x v="3"/>
    <x v="0"/>
  </r>
  <r>
    <x v="142"/>
    <x v="117"/>
    <x v="141"/>
    <x v="2"/>
    <x v="2"/>
    <x v="2"/>
    <x v="5"/>
    <x v="2"/>
    <x v="13"/>
    <x v="1"/>
    <x v="4"/>
    <x v="2"/>
  </r>
  <r>
    <x v="143"/>
    <x v="90"/>
    <x v="142"/>
    <x v="9"/>
    <x v="1"/>
    <x v="1"/>
    <x v="5"/>
    <x v="1"/>
    <x v="27"/>
    <x v="5"/>
    <x v="1"/>
    <x v="2"/>
  </r>
  <r>
    <x v="144"/>
    <x v="76"/>
    <x v="143"/>
    <x v="1"/>
    <x v="0"/>
    <x v="0"/>
    <x v="1"/>
    <x v="0"/>
    <x v="3"/>
    <x v="2"/>
    <x v="2"/>
    <x v="0"/>
  </r>
  <r>
    <x v="145"/>
    <x v="118"/>
    <x v="144"/>
    <x v="0"/>
    <x v="1"/>
    <x v="1"/>
    <x v="0"/>
    <x v="1"/>
    <x v="12"/>
    <x v="2"/>
    <x v="3"/>
    <x v="0"/>
  </r>
  <r>
    <x v="146"/>
    <x v="119"/>
    <x v="145"/>
    <x v="4"/>
    <x v="1"/>
    <x v="1"/>
    <x v="3"/>
    <x v="1"/>
    <x v="4"/>
    <x v="1"/>
    <x v="3"/>
    <x v="1"/>
  </r>
  <r>
    <x v="147"/>
    <x v="120"/>
    <x v="146"/>
    <x v="10"/>
    <x v="2"/>
    <x v="2"/>
    <x v="5"/>
    <x v="2"/>
    <x v="13"/>
    <x v="0"/>
    <x v="3"/>
    <x v="1"/>
  </r>
  <r>
    <x v="148"/>
    <x v="121"/>
    <x v="147"/>
    <x v="3"/>
    <x v="4"/>
    <x v="1"/>
    <x v="5"/>
    <x v="4"/>
    <x v="22"/>
    <x v="2"/>
    <x v="3"/>
    <x v="0"/>
  </r>
  <r>
    <x v="149"/>
    <x v="122"/>
    <x v="148"/>
    <x v="2"/>
    <x v="2"/>
    <x v="2"/>
    <x v="4"/>
    <x v="2"/>
    <x v="23"/>
    <x v="2"/>
    <x v="0"/>
    <x v="2"/>
  </r>
  <r>
    <x v="150"/>
    <x v="105"/>
    <x v="149"/>
    <x v="6"/>
    <x v="4"/>
    <x v="1"/>
    <x v="0"/>
    <x v="4"/>
    <x v="24"/>
    <x v="5"/>
    <x v="4"/>
    <x v="0"/>
  </r>
  <r>
    <x v="151"/>
    <x v="1"/>
    <x v="150"/>
    <x v="11"/>
    <x v="2"/>
    <x v="2"/>
    <x v="5"/>
    <x v="2"/>
    <x v="13"/>
    <x v="0"/>
    <x v="1"/>
    <x v="2"/>
  </r>
  <r>
    <x v="152"/>
    <x v="123"/>
    <x v="151"/>
    <x v="2"/>
    <x v="0"/>
    <x v="0"/>
    <x v="1"/>
    <x v="0"/>
    <x v="3"/>
    <x v="5"/>
    <x v="0"/>
    <x v="1"/>
  </r>
  <r>
    <x v="153"/>
    <x v="23"/>
    <x v="152"/>
    <x v="6"/>
    <x v="1"/>
    <x v="1"/>
    <x v="3"/>
    <x v="1"/>
    <x v="4"/>
    <x v="5"/>
    <x v="1"/>
    <x v="2"/>
  </r>
  <r>
    <x v="154"/>
    <x v="124"/>
    <x v="153"/>
    <x v="6"/>
    <x v="5"/>
    <x v="1"/>
    <x v="4"/>
    <x v="5"/>
    <x v="20"/>
    <x v="2"/>
    <x v="4"/>
    <x v="2"/>
  </r>
  <r>
    <x v="155"/>
    <x v="125"/>
    <x v="154"/>
    <x v="1"/>
    <x v="0"/>
    <x v="0"/>
    <x v="0"/>
    <x v="0"/>
    <x v="0"/>
    <x v="2"/>
    <x v="0"/>
    <x v="0"/>
  </r>
  <r>
    <x v="156"/>
    <x v="126"/>
    <x v="155"/>
    <x v="10"/>
    <x v="5"/>
    <x v="1"/>
    <x v="5"/>
    <x v="5"/>
    <x v="7"/>
    <x v="3"/>
    <x v="2"/>
    <x v="2"/>
  </r>
  <r>
    <x v="157"/>
    <x v="127"/>
    <x v="156"/>
    <x v="5"/>
    <x v="5"/>
    <x v="1"/>
    <x v="1"/>
    <x v="5"/>
    <x v="9"/>
    <x v="2"/>
    <x v="1"/>
    <x v="1"/>
  </r>
  <r>
    <x v="158"/>
    <x v="128"/>
    <x v="157"/>
    <x v="0"/>
    <x v="4"/>
    <x v="1"/>
    <x v="0"/>
    <x v="4"/>
    <x v="24"/>
    <x v="5"/>
    <x v="0"/>
    <x v="2"/>
  </r>
  <r>
    <x v="159"/>
    <x v="83"/>
    <x v="158"/>
    <x v="11"/>
    <x v="5"/>
    <x v="1"/>
    <x v="0"/>
    <x v="5"/>
    <x v="21"/>
    <x v="2"/>
    <x v="1"/>
    <x v="0"/>
  </r>
  <r>
    <x v="160"/>
    <x v="129"/>
    <x v="159"/>
    <x v="2"/>
    <x v="0"/>
    <x v="0"/>
    <x v="4"/>
    <x v="0"/>
    <x v="8"/>
    <x v="4"/>
    <x v="4"/>
    <x v="2"/>
  </r>
  <r>
    <x v="161"/>
    <x v="130"/>
    <x v="160"/>
    <x v="4"/>
    <x v="5"/>
    <x v="1"/>
    <x v="1"/>
    <x v="5"/>
    <x v="9"/>
    <x v="2"/>
    <x v="4"/>
    <x v="1"/>
  </r>
  <r>
    <x v="162"/>
    <x v="131"/>
    <x v="161"/>
    <x v="1"/>
    <x v="1"/>
    <x v="1"/>
    <x v="0"/>
    <x v="1"/>
    <x v="12"/>
    <x v="2"/>
    <x v="0"/>
    <x v="1"/>
  </r>
  <r>
    <x v="163"/>
    <x v="132"/>
    <x v="162"/>
    <x v="3"/>
    <x v="0"/>
    <x v="0"/>
    <x v="4"/>
    <x v="0"/>
    <x v="8"/>
    <x v="1"/>
    <x v="2"/>
    <x v="2"/>
  </r>
  <r>
    <x v="164"/>
    <x v="133"/>
    <x v="163"/>
    <x v="0"/>
    <x v="4"/>
    <x v="1"/>
    <x v="0"/>
    <x v="4"/>
    <x v="24"/>
    <x v="5"/>
    <x v="2"/>
    <x v="2"/>
  </r>
  <r>
    <x v="165"/>
    <x v="119"/>
    <x v="164"/>
    <x v="5"/>
    <x v="5"/>
    <x v="1"/>
    <x v="0"/>
    <x v="5"/>
    <x v="21"/>
    <x v="4"/>
    <x v="4"/>
    <x v="1"/>
  </r>
  <r>
    <x v="166"/>
    <x v="14"/>
    <x v="165"/>
    <x v="6"/>
    <x v="3"/>
    <x v="0"/>
    <x v="1"/>
    <x v="3"/>
    <x v="6"/>
    <x v="4"/>
    <x v="3"/>
    <x v="0"/>
  </r>
  <r>
    <x v="167"/>
    <x v="134"/>
    <x v="166"/>
    <x v="2"/>
    <x v="1"/>
    <x v="1"/>
    <x v="0"/>
    <x v="1"/>
    <x v="12"/>
    <x v="2"/>
    <x v="2"/>
    <x v="0"/>
  </r>
  <r>
    <x v="168"/>
    <x v="135"/>
    <x v="167"/>
    <x v="4"/>
    <x v="4"/>
    <x v="1"/>
    <x v="3"/>
    <x v="4"/>
    <x v="15"/>
    <x v="4"/>
    <x v="3"/>
    <x v="1"/>
  </r>
  <r>
    <x v="169"/>
    <x v="104"/>
    <x v="168"/>
    <x v="8"/>
    <x v="0"/>
    <x v="0"/>
    <x v="2"/>
    <x v="0"/>
    <x v="6"/>
    <x v="5"/>
    <x v="0"/>
    <x v="2"/>
  </r>
  <r>
    <x v="170"/>
    <x v="136"/>
    <x v="169"/>
    <x v="4"/>
    <x v="3"/>
    <x v="0"/>
    <x v="1"/>
    <x v="3"/>
    <x v="6"/>
    <x v="0"/>
    <x v="3"/>
    <x v="2"/>
  </r>
  <r>
    <x v="171"/>
    <x v="137"/>
    <x v="170"/>
    <x v="9"/>
    <x v="1"/>
    <x v="1"/>
    <x v="3"/>
    <x v="1"/>
    <x v="4"/>
    <x v="4"/>
    <x v="1"/>
    <x v="0"/>
  </r>
  <r>
    <x v="172"/>
    <x v="138"/>
    <x v="171"/>
    <x v="0"/>
    <x v="1"/>
    <x v="1"/>
    <x v="1"/>
    <x v="1"/>
    <x v="0"/>
    <x v="5"/>
    <x v="1"/>
    <x v="1"/>
  </r>
  <r>
    <x v="173"/>
    <x v="139"/>
    <x v="172"/>
    <x v="3"/>
    <x v="4"/>
    <x v="1"/>
    <x v="0"/>
    <x v="4"/>
    <x v="24"/>
    <x v="0"/>
    <x v="4"/>
    <x v="2"/>
  </r>
  <r>
    <x v="174"/>
    <x v="22"/>
    <x v="173"/>
    <x v="3"/>
    <x v="3"/>
    <x v="0"/>
    <x v="2"/>
    <x v="3"/>
    <x v="10"/>
    <x v="0"/>
    <x v="3"/>
    <x v="0"/>
  </r>
  <r>
    <x v="175"/>
    <x v="76"/>
    <x v="174"/>
    <x v="4"/>
    <x v="3"/>
    <x v="0"/>
    <x v="5"/>
    <x v="3"/>
    <x v="1"/>
    <x v="4"/>
    <x v="1"/>
    <x v="1"/>
  </r>
  <r>
    <x v="176"/>
    <x v="5"/>
    <x v="175"/>
    <x v="7"/>
    <x v="4"/>
    <x v="1"/>
    <x v="5"/>
    <x v="4"/>
    <x v="22"/>
    <x v="3"/>
    <x v="4"/>
    <x v="0"/>
  </r>
  <r>
    <x v="177"/>
    <x v="63"/>
    <x v="176"/>
    <x v="3"/>
    <x v="4"/>
    <x v="1"/>
    <x v="1"/>
    <x v="4"/>
    <x v="5"/>
    <x v="1"/>
    <x v="1"/>
    <x v="0"/>
  </r>
  <r>
    <x v="178"/>
    <x v="140"/>
    <x v="177"/>
    <x v="5"/>
    <x v="1"/>
    <x v="1"/>
    <x v="5"/>
    <x v="1"/>
    <x v="27"/>
    <x v="2"/>
    <x v="2"/>
    <x v="1"/>
  </r>
  <r>
    <x v="179"/>
    <x v="141"/>
    <x v="178"/>
    <x v="3"/>
    <x v="5"/>
    <x v="1"/>
    <x v="4"/>
    <x v="5"/>
    <x v="20"/>
    <x v="4"/>
    <x v="1"/>
    <x v="0"/>
  </r>
  <r>
    <x v="180"/>
    <x v="142"/>
    <x v="179"/>
    <x v="10"/>
    <x v="0"/>
    <x v="0"/>
    <x v="2"/>
    <x v="0"/>
    <x v="6"/>
    <x v="5"/>
    <x v="3"/>
    <x v="0"/>
  </r>
  <r>
    <x v="181"/>
    <x v="69"/>
    <x v="180"/>
    <x v="2"/>
    <x v="0"/>
    <x v="0"/>
    <x v="0"/>
    <x v="0"/>
    <x v="0"/>
    <x v="0"/>
    <x v="3"/>
    <x v="0"/>
  </r>
  <r>
    <x v="182"/>
    <x v="143"/>
    <x v="181"/>
    <x v="11"/>
    <x v="3"/>
    <x v="0"/>
    <x v="0"/>
    <x v="3"/>
    <x v="2"/>
    <x v="5"/>
    <x v="4"/>
    <x v="0"/>
  </r>
  <r>
    <x v="183"/>
    <x v="4"/>
    <x v="182"/>
    <x v="1"/>
    <x v="1"/>
    <x v="1"/>
    <x v="5"/>
    <x v="1"/>
    <x v="27"/>
    <x v="1"/>
    <x v="4"/>
    <x v="0"/>
  </r>
  <r>
    <x v="184"/>
    <x v="144"/>
    <x v="183"/>
    <x v="6"/>
    <x v="4"/>
    <x v="1"/>
    <x v="3"/>
    <x v="4"/>
    <x v="15"/>
    <x v="1"/>
    <x v="0"/>
    <x v="2"/>
  </r>
  <r>
    <x v="185"/>
    <x v="145"/>
    <x v="184"/>
    <x v="9"/>
    <x v="0"/>
    <x v="0"/>
    <x v="2"/>
    <x v="0"/>
    <x v="6"/>
    <x v="3"/>
    <x v="1"/>
    <x v="2"/>
  </r>
  <r>
    <x v="186"/>
    <x v="62"/>
    <x v="185"/>
    <x v="10"/>
    <x v="2"/>
    <x v="2"/>
    <x v="0"/>
    <x v="2"/>
    <x v="1"/>
    <x v="1"/>
    <x v="3"/>
    <x v="1"/>
  </r>
  <r>
    <x v="187"/>
    <x v="146"/>
    <x v="186"/>
    <x v="5"/>
    <x v="4"/>
    <x v="1"/>
    <x v="1"/>
    <x v="4"/>
    <x v="5"/>
    <x v="2"/>
    <x v="1"/>
    <x v="2"/>
  </r>
  <r>
    <x v="188"/>
    <x v="18"/>
    <x v="187"/>
    <x v="6"/>
    <x v="4"/>
    <x v="1"/>
    <x v="5"/>
    <x v="4"/>
    <x v="22"/>
    <x v="4"/>
    <x v="4"/>
    <x v="0"/>
  </r>
  <r>
    <x v="189"/>
    <x v="147"/>
    <x v="188"/>
    <x v="2"/>
    <x v="2"/>
    <x v="2"/>
    <x v="5"/>
    <x v="2"/>
    <x v="13"/>
    <x v="3"/>
    <x v="1"/>
    <x v="0"/>
  </r>
  <r>
    <x v="190"/>
    <x v="148"/>
    <x v="189"/>
    <x v="7"/>
    <x v="5"/>
    <x v="1"/>
    <x v="1"/>
    <x v="5"/>
    <x v="9"/>
    <x v="4"/>
    <x v="4"/>
    <x v="2"/>
  </r>
  <r>
    <x v="191"/>
    <x v="149"/>
    <x v="190"/>
    <x v="6"/>
    <x v="4"/>
    <x v="1"/>
    <x v="1"/>
    <x v="4"/>
    <x v="5"/>
    <x v="5"/>
    <x v="3"/>
    <x v="2"/>
  </r>
  <r>
    <x v="192"/>
    <x v="90"/>
    <x v="191"/>
    <x v="4"/>
    <x v="0"/>
    <x v="0"/>
    <x v="4"/>
    <x v="0"/>
    <x v="8"/>
    <x v="5"/>
    <x v="1"/>
    <x v="0"/>
  </r>
  <r>
    <x v="193"/>
    <x v="150"/>
    <x v="192"/>
    <x v="11"/>
    <x v="3"/>
    <x v="0"/>
    <x v="1"/>
    <x v="3"/>
    <x v="6"/>
    <x v="2"/>
    <x v="4"/>
    <x v="1"/>
  </r>
  <r>
    <x v="194"/>
    <x v="76"/>
    <x v="193"/>
    <x v="9"/>
    <x v="5"/>
    <x v="1"/>
    <x v="3"/>
    <x v="5"/>
    <x v="16"/>
    <x v="2"/>
    <x v="2"/>
    <x v="2"/>
  </r>
  <r>
    <x v="195"/>
    <x v="151"/>
    <x v="194"/>
    <x v="5"/>
    <x v="5"/>
    <x v="1"/>
    <x v="3"/>
    <x v="5"/>
    <x v="16"/>
    <x v="4"/>
    <x v="3"/>
    <x v="2"/>
  </r>
  <r>
    <x v="196"/>
    <x v="86"/>
    <x v="195"/>
    <x v="4"/>
    <x v="4"/>
    <x v="1"/>
    <x v="4"/>
    <x v="4"/>
    <x v="25"/>
    <x v="1"/>
    <x v="0"/>
    <x v="0"/>
  </r>
  <r>
    <x v="197"/>
    <x v="70"/>
    <x v="196"/>
    <x v="0"/>
    <x v="5"/>
    <x v="1"/>
    <x v="2"/>
    <x v="5"/>
    <x v="17"/>
    <x v="0"/>
    <x v="4"/>
    <x v="0"/>
  </r>
  <r>
    <x v="198"/>
    <x v="152"/>
    <x v="197"/>
    <x v="8"/>
    <x v="5"/>
    <x v="1"/>
    <x v="2"/>
    <x v="5"/>
    <x v="17"/>
    <x v="2"/>
    <x v="2"/>
    <x v="2"/>
  </r>
  <r>
    <x v="199"/>
    <x v="153"/>
    <x v="198"/>
    <x v="0"/>
    <x v="1"/>
    <x v="1"/>
    <x v="1"/>
    <x v="1"/>
    <x v="0"/>
    <x v="3"/>
    <x v="4"/>
    <x v="0"/>
  </r>
  <r>
    <x v="200"/>
    <x v="154"/>
    <x v="199"/>
    <x v="8"/>
    <x v="2"/>
    <x v="2"/>
    <x v="5"/>
    <x v="2"/>
    <x v="13"/>
    <x v="5"/>
    <x v="3"/>
    <x v="0"/>
  </r>
  <r>
    <x v="201"/>
    <x v="99"/>
    <x v="200"/>
    <x v="5"/>
    <x v="0"/>
    <x v="0"/>
    <x v="3"/>
    <x v="0"/>
    <x v="7"/>
    <x v="0"/>
    <x v="1"/>
    <x v="2"/>
  </r>
  <r>
    <x v="202"/>
    <x v="90"/>
    <x v="201"/>
    <x v="10"/>
    <x v="1"/>
    <x v="1"/>
    <x v="1"/>
    <x v="1"/>
    <x v="0"/>
    <x v="0"/>
    <x v="2"/>
    <x v="2"/>
  </r>
  <r>
    <x v="203"/>
    <x v="155"/>
    <x v="202"/>
    <x v="11"/>
    <x v="5"/>
    <x v="1"/>
    <x v="1"/>
    <x v="5"/>
    <x v="9"/>
    <x v="1"/>
    <x v="0"/>
    <x v="0"/>
  </r>
  <r>
    <x v="204"/>
    <x v="156"/>
    <x v="203"/>
    <x v="2"/>
    <x v="4"/>
    <x v="1"/>
    <x v="1"/>
    <x v="4"/>
    <x v="5"/>
    <x v="5"/>
    <x v="2"/>
    <x v="2"/>
  </r>
  <r>
    <x v="205"/>
    <x v="67"/>
    <x v="204"/>
    <x v="7"/>
    <x v="5"/>
    <x v="1"/>
    <x v="1"/>
    <x v="5"/>
    <x v="9"/>
    <x v="0"/>
    <x v="2"/>
    <x v="1"/>
  </r>
  <r>
    <x v="206"/>
    <x v="157"/>
    <x v="205"/>
    <x v="0"/>
    <x v="1"/>
    <x v="1"/>
    <x v="5"/>
    <x v="1"/>
    <x v="27"/>
    <x v="2"/>
    <x v="4"/>
    <x v="2"/>
  </r>
  <r>
    <x v="207"/>
    <x v="158"/>
    <x v="206"/>
    <x v="1"/>
    <x v="1"/>
    <x v="1"/>
    <x v="2"/>
    <x v="1"/>
    <x v="2"/>
    <x v="3"/>
    <x v="3"/>
    <x v="2"/>
  </r>
  <r>
    <x v="208"/>
    <x v="115"/>
    <x v="207"/>
    <x v="3"/>
    <x v="3"/>
    <x v="0"/>
    <x v="1"/>
    <x v="3"/>
    <x v="6"/>
    <x v="4"/>
    <x v="3"/>
    <x v="0"/>
  </r>
  <r>
    <x v="209"/>
    <x v="159"/>
    <x v="208"/>
    <x v="0"/>
    <x v="4"/>
    <x v="1"/>
    <x v="3"/>
    <x v="4"/>
    <x v="15"/>
    <x v="2"/>
    <x v="1"/>
    <x v="2"/>
  </r>
  <r>
    <x v="210"/>
    <x v="15"/>
    <x v="209"/>
    <x v="0"/>
    <x v="1"/>
    <x v="1"/>
    <x v="3"/>
    <x v="1"/>
    <x v="4"/>
    <x v="4"/>
    <x v="2"/>
    <x v="0"/>
  </r>
  <r>
    <x v="211"/>
    <x v="160"/>
    <x v="210"/>
    <x v="0"/>
    <x v="3"/>
    <x v="0"/>
    <x v="4"/>
    <x v="3"/>
    <x v="14"/>
    <x v="1"/>
    <x v="0"/>
    <x v="1"/>
  </r>
  <r>
    <x v="212"/>
    <x v="125"/>
    <x v="211"/>
    <x v="2"/>
    <x v="1"/>
    <x v="1"/>
    <x v="4"/>
    <x v="1"/>
    <x v="26"/>
    <x v="2"/>
    <x v="0"/>
    <x v="1"/>
  </r>
  <r>
    <x v="213"/>
    <x v="161"/>
    <x v="212"/>
    <x v="10"/>
    <x v="3"/>
    <x v="0"/>
    <x v="2"/>
    <x v="3"/>
    <x v="10"/>
    <x v="2"/>
    <x v="4"/>
    <x v="2"/>
  </r>
  <r>
    <x v="214"/>
    <x v="162"/>
    <x v="213"/>
    <x v="0"/>
    <x v="0"/>
    <x v="0"/>
    <x v="5"/>
    <x v="0"/>
    <x v="14"/>
    <x v="5"/>
    <x v="2"/>
    <x v="1"/>
  </r>
  <r>
    <x v="215"/>
    <x v="63"/>
    <x v="214"/>
    <x v="11"/>
    <x v="5"/>
    <x v="1"/>
    <x v="5"/>
    <x v="5"/>
    <x v="7"/>
    <x v="3"/>
    <x v="3"/>
    <x v="0"/>
  </r>
  <r>
    <x v="216"/>
    <x v="163"/>
    <x v="215"/>
    <x v="10"/>
    <x v="0"/>
    <x v="0"/>
    <x v="0"/>
    <x v="0"/>
    <x v="0"/>
    <x v="1"/>
    <x v="4"/>
    <x v="0"/>
  </r>
  <r>
    <x v="217"/>
    <x v="164"/>
    <x v="216"/>
    <x v="0"/>
    <x v="2"/>
    <x v="2"/>
    <x v="3"/>
    <x v="2"/>
    <x v="18"/>
    <x v="5"/>
    <x v="4"/>
    <x v="1"/>
  </r>
  <r>
    <x v="218"/>
    <x v="165"/>
    <x v="217"/>
    <x v="2"/>
    <x v="0"/>
    <x v="0"/>
    <x v="4"/>
    <x v="0"/>
    <x v="8"/>
    <x v="0"/>
    <x v="4"/>
    <x v="0"/>
  </r>
  <r>
    <x v="219"/>
    <x v="166"/>
    <x v="218"/>
    <x v="11"/>
    <x v="2"/>
    <x v="2"/>
    <x v="5"/>
    <x v="2"/>
    <x v="13"/>
    <x v="3"/>
    <x v="2"/>
    <x v="1"/>
  </r>
  <r>
    <x v="220"/>
    <x v="167"/>
    <x v="219"/>
    <x v="11"/>
    <x v="0"/>
    <x v="0"/>
    <x v="4"/>
    <x v="0"/>
    <x v="8"/>
    <x v="4"/>
    <x v="4"/>
    <x v="1"/>
  </r>
  <r>
    <x v="221"/>
    <x v="20"/>
    <x v="220"/>
    <x v="0"/>
    <x v="3"/>
    <x v="0"/>
    <x v="4"/>
    <x v="3"/>
    <x v="14"/>
    <x v="1"/>
    <x v="2"/>
    <x v="0"/>
  </r>
  <r>
    <x v="222"/>
    <x v="45"/>
    <x v="221"/>
    <x v="3"/>
    <x v="2"/>
    <x v="2"/>
    <x v="0"/>
    <x v="2"/>
    <x v="1"/>
    <x v="3"/>
    <x v="3"/>
    <x v="0"/>
  </r>
  <r>
    <x v="223"/>
    <x v="93"/>
    <x v="222"/>
    <x v="1"/>
    <x v="0"/>
    <x v="0"/>
    <x v="0"/>
    <x v="0"/>
    <x v="0"/>
    <x v="5"/>
    <x v="3"/>
    <x v="2"/>
  </r>
  <r>
    <x v="224"/>
    <x v="168"/>
    <x v="223"/>
    <x v="1"/>
    <x v="1"/>
    <x v="1"/>
    <x v="5"/>
    <x v="1"/>
    <x v="27"/>
    <x v="5"/>
    <x v="4"/>
    <x v="0"/>
  </r>
  <r>
    <x v="225"/>
    <x v="169"/>
    <x v="224"/>
    <x v="2"/>
    <x v="5"/>
    <x v="1"/>
    <x v="2"/>
    <x v="5"/>
    <x v="17"/>
    <x v="2"/>
    <x v="2"/>
    <x v="2"/>
  </r>
  <r>
    <x v="226"/>
    <x v="170"/>
    <x v="225"/>
    <x v="7"/>
    <x v="1"/>
    <x v="1"/>
    <x v="4"/>
    <x v="1"/>
    <x v="26"/>
    <x v="3"/>
    <x v="4"/>
    <x v="0"/>
  </r>
  <r>
    <x v="227"/>
    <x v="171"/>
    <x v="226"/>
    <x v="10"/>
    <x v="2"/>
    <x v="2"/>
    <x v="4"/>
    <x v="2"/>
    <x v="23"/>
    <x v="2"/>
    <x v="4"/>
    <x v="0"/>
  </r>
  <r>
    <x v="228"/>
    <x v="30"/>
    <x v="227"/>
    <x v="11"/>
    <x v="4"/>
    <x v="1"/>
    <x v="4"/>
    <x v="4"/>
    <x v="25"/>
    <x v="3"/>
    <x v="1"/>
    <x v="2"/>
  </r>
  <r>
    <x v="229"/>
    <x v="99"/>
    <x v="228"/>
    <x v="9"/>
    <x v="0"/>
    <x v="0"/>
    <x v="0"/>
    <x v="0"/>
    <x v="0"/>
    <x v="0"/>
    <x v="3"/>
    <x v="0"/>
  </r>
  <r>
    <x v="230"/>
    <x v="94"/>
    <x v="229"/>
    <x v="5"/>
    <x v="4"/>
    <x v="1"/>
    <x v="3"/>
    <x v="4"/>
    <x v="15"/>
    <x v="5"/>
    <x v="1"/>
    <x v="2"/>
  </r>
  <r>
    <x v="231"/>
    <x v="50"/>
    <x v="230"/>
    <x v="4"/>
    <x v="5"/>
    <x v="1"/>
    <x v="5"/>
    <x v="5"/>
    <x v="7"/>
    <x v="1"/>
    <x v="3"/>
    <x v="2"/>
  </r>
  <r>
    <x v="232"/>
    <x v="140"/>
    <x v="231"/>
    <x v="7"/>
    <x v="0"/>
    <x v="0"/>
    <x v="4"/>
    <x v="0"/>
    <x v="8"/>
    <x v="0"/>
    <x v="2"/>
    <x v="2"/>
  </r>
  <r>
    <x v="233"/>
    <x v="172"/>
    <x v="232"/>
    <x v="3"/>
    <x v="3"/>
    <x v="0"/>
    <x v="4"/>
    <x v="3"/>
    <x v="14"/>
    <x v="5"/>
    <x v="3"/>
    <x v="0"/>
  </r>
  <r>
    <x v="234"/>
    <x v="163"/>
    <x v="233"/>
    <x v="2"/>
    <x v="2"/>
    <x v="2"/>
    <x v="1"/>
    <x v="2"/>
    <x v="28"/>
    <x v="4"/>
    <x v="2"/>
    <x v="2"/>
  </r>
  <r>
    <x v="235"/>
    <x v="173"/>
    <x v="234"/>
    <x v="3"/>
    <x v="0"/>
    <x v="0"/>
    <x v="3"/>
    <x v="0"/>
    <x v="7"/>
    <x v="5"/>
    <x v="3"/>
    <x v="1"/>
  </r>
  <r>
    <x v="236"/>
    <x v="7"/>
    <x v="235"/>
    <x v="10"/>
    <x v="0"/>
    <x v="0"/>
    <x v="5"/>
    <x v="0"/>
    <x v="14"/>
    <x v="4"/>
    <x v="3"/>
    <x v="0"/>
  </r>
  <r>
    <x v="237"/>
    <x v="174"/>
    <x v="236"/>
    <x v="11"/>
    <x v="1"/>
    <x v="1"/>
    <x v="4"/>
    <x v="1"/>
    <x v="26"/>
    <x v="0"/>
    <x v="1"/>
    <x v="2"/>
  </r>
  <r>
    <x v="238"/>
    <x v="117"/>
    <x v="237"/>
    <x v="7"/>
    <x v="5"/>
    <x v="1"/>
    <x v="4"/>
    <x v="5"/>
    <x v="20"/>
    <x v="3"/>
    <x v="0"/>
    <x v="2"/>
  </r>
  <r>
    <x v="239"/>
    <x v="115"/>
    <x v="238"/>
    <x v="11"/>
    <x v="4"/>
    <x v="1"/>
    <x v="4"/>
    <x v="4"/>
    <x v="25"/>
    <x v="2"/>
    <x v="4"/>
    <x v="0"/>
  </r>
  <r>
    <x v="240"/>
    <x v="19"/>
    <x v="239"/>
    <x v="5"/>
    <x v="4"/>
    <x v="1"/>
    <x v="3"/>
    <x v="4"/>
    <x v="15"/>
    <x v="3"/>
    <x v="4"/>
    <x v="2"/>
  </r>
  <r>
    <x v="241"/>
    <x v="154"/>
    <x v="240"/>
    <x v="3"/>
    <x v="2"/>
    <x v="2"/>
    <x v="4"/>
    <x v="2"/>
    <x v="23"/>
    <x v="1"/>
    <x v="4"/>
    <x v="2"/>
  </r>
  <r>
    <x v="242"/>
    <x v="175"/>
    <x v="241"/>
    <x v="7"/>
    <x v="3"/>
    <x v="0"/>
    <x v="2"/>
    <x v="3"/>
    <x v="10"/>
    <x v="3"/>
    <x v="0"/>
    <x v="1"/>
  </r>
  <r>
    <x v="243"/>
    <x v="55"/>
    <x v="242"/>
    <x v="0"/>
    <x v="4"/>
    <x v="1"/>
    <x v="3"/>
    <x v="4"/>
    <x v="15"/>
    <x v="2"/>
    <x v="1"/>
    <x v="0"/>
  </r>
  <r>
    <x v="244"/>
    <x v="60"/>
    <x v="243"/>
    <x v="3"/>
    <x v="4"/>
    <x v="1"/>
    <x v="4"/>
    <x v="4"/>
    <x v="25"/>
    <x v="0"/>
    <x v="0"/>
    <x v="2"/>
  </r>
  <r>
    <x v="245"/>
    <x v="176"/>
    <x v="244"/>
    <x v="4"/>
    <x v="3"/>
    <x v="0"/>
    <x v="4"/>
    <x v="3"/>
    <x v="14"/>
    <x v="2"/>
    <x v="0"/>
    <x v="1"/>
  </r>
  <r>
    <x v="246"/>
    <x v="177"/>
    <x v="245"/>
    <x v="6"/>
    <x v="0"/>
    <x v="0"/>
    <x v="5"/>
    <x v="0"/>
    <x v="14"/>
    <x v="4"/>
    <x v="4"/>
    <x v="0"/>
  </r>
  <r>
    <x v="247"/>
    <x v="178"/>
    <x v="246"/>
    <x v="10"/>
    <x v="0"/>
    <x v="0"/>
    <x v="1"/>
    <x v="0"/>
    <x v="3"/>
    <x v="0"/>
    <x v="1"/>
    <x v="2"/>
  </r>
  <r>
    <x v="248"/>
    <x v="179"/>
    <x v="247"/>
    <x v="9"/>
    <x v="0"/>
    <x v="0"/>
    <x v="4"/>
    <x v="0"/>
    <x v="8"/>
    <x v="3"/>
    <x v="1"/>
    <x v="0"/>
  </r>
  <r>
    <x v="249"/>
    <x v="180"/>
    <x v="248"/>
    <x v="9"/>
    <x v="4"/>
    <x v="1"/>
    <x v="3"/>
    <x v="4"/>
    <x v="15"/>
    <x v="5"/>
    <x v="2"/>
    <x v="1"/>
  </r>
  <r>
    <x v="250"/>
    <x v="111"/>
    <x v="249"/>
    <x v="2"/>
    <x v="1"/>
    <x v="1"/>
    <x v="5"/>
    <x v="1"/>
    <x v="27"/>
    <x v="2"/>
    <x v="2"/>
    <x v="1"/>
  </r>
  <r>
    <x v="251"/>
    <x v="114"/>
    <x v="250"/>
    <x v="6"/>
    <x v="2"/>
    <x v="2"/>
    <x v="5"/>
    <x v="2"/>
    <x v="13"/>
    <x v="2"/>
    <x v="4"/>
    <x v="0"/>
  </r>
  <r>
    <x v="252"/>
    <x v="181"/>
    <x v="251"/>
    <x v="11"/>
    <x v="0"/>
    <x v="0"/>
    <x v="2"/>
    <x v="0"/>
    <x v="6"/>
    <x v="5"/>
    <x v="2"/>
    <x v="0"/>
  </r>
  <r>
    <x v="253"/>
    <x v="182"/>
    <x v="252"/>
    <x v="6"/>
    <x v="3"/>
    <x v="0"/>
    <x v="2"/>
    <x v="3"/>
    <x v="10"/>
    <x v="5"/>
    <x v="4"/>
    <x v="2"/>
  </r>
  <r>
    <x v="254"/>
    <x v="183"/>
    <x v="253"/>
    <x v="5"/>
    <x v="1"/>
    <x v="1"/>
    <x v="4"/>
    <x v="1"/>
    <x v="26"/>
    <x v="0"/>
    <x v="0"/>
    <x v="1"/>
  </r>
  <r>
    <x v="255"/>
    <x v="184"/>
    <x v="254"/>
    <x v="10"/>
    <x v="5"/>
    <x v="1"/>
    <x v="5"/>
    <x v="5"/>
    <x v="7"/>
    <x v="0"/>
    <x v="2"/>
    <x v="0"/>
  </r>
  <r>
    <x v="256"/>
    <x v="185"/>
    <x v="255"/>
    <x v="4"/>
    <x v="0"/>
    <x v="0"/>
    <x v="0"/>
    <x v="0"/>
    <x v="0"/>
    <x v="4"/>
    <x v="2"/>
    <x v="0"/>
  </r>
  <r>
    <x v="257"/>
    <x v="186"/>
    <x v="256"/>
    <x v="11"/>
    <x v="1"/>
    <x v="1"/>
    <x v="5"/>
    <x v="1"/>
    <x v="27"/>
    <x v="1"/>
    <x v="1"/>
    <x v="1"/>
  </r>
  <r>
    <x v="258"/>
    <x v="95"/>
    <x v="257"/>
    <x v="11"/>
    <x v="4"/>
    <x v="1"/>
    <x v="1"/>
    <x v="4"/>
    <x v="5"/>
    <x v="1"/>
    <x v="1"/>
    <x v="2"/>
  </r>
  <r>
    <x v="259"/>
    <x v="187"/>
    <x v="258"/>
    <x v="3"/>
    <x v="5"/>
    <x v="1"/>
    <x v="5"/>
    <x v="5"/>
    <x v="7"/>
    <x v="4"/>
    <x v="2"/>
    <x v="2"/>
  </r>
  <r>
    <x v="260"/>
    <x v="188"/>
    <x v="259"/>
    <x v="4"/>
    <x v="2"/>
    <x v="2"/>
    <x v="2"/>
    <x v="2"/>
    <x v="11"/>
    <x v="3"/>
    <x v="1"/>
    <x v="0"/>
  </r>
  <r>
    <x v="261"/>
    <x v="189"/>
    <x v="260"/>
    <x v="7"/>
    <x v="3"/>
    <x v="0"/>
    <x v="5"/>
    <x v="3"/>
    <x v="1"/>
    <x v="5"/>
    <x v="3"/>
    <x v="1"/>
  </r>
  <r>
    <x v="262"/>
    <x v="190"/>
    <x v="261"/>
    <x v="11"/>
    <x v="0"/>
    <x v="0"/>
    <x v="0"/>
    <x v="0"/>
    <x v="0"/>
    <x v="4"/>
    <x v="0"/>
    <x v="1"/>
  </r>
  <r>
    <x v="263"/>
    <x v="191"/>
    <x v="262"/>
    <x v="3"/>
    <x v="0"/>
    <x v="0"/>
    <x v="3"/>
    <x v="0"/>
    <x v="7"/>
    <x v="5"/>
    <x v="0"/>
    <x v="2"/>
  </r>
  <r>
    <x v="264"/>
    <x v="186"/>
    <x v="263"/>
    <x v="7"/>
    <x v="0"/>
    <x v="0"/>
    <x v="5"/>
    <x v="0"/>
    <x v="14"/>
    <x v="1"/>
    <x v="4"/>
    <x v="1"/>
  </r>
  <r>
    <x v="265"/>
    <x v="136"/>
    <x v="264"/>
    <x v="7"/>
    <x v="4"/>
    <x v="1"/>
    <x v="0"/>
    <x v="4"/>
    <x v="24"/>
    <x v="3"/>
    <x v="3"/>
    <x v="0"/>
  </r>
  <r>
    <x v="266"/>
    <x v="48"/>
    <x v="265"/>
    <x v="5"/>
    <x v="1"/>
    <x v="1"/>
    <x v="3"/>
    <x v="1"/>
    <x v="4"/>
    <x v="0"/>
    <x v="1"/>
    <x v="0"/>
  </r>
  <r>
    <x v="267"/>
    <x v="136"/>
    <x v="266"/>
    <x v="4"/>
    <x v="2"/>
    <x v="2"/>
    <x v="5"/>
    <x v="2"/>
    <x v="13"/>
    <x v="5"/>
    <x v="1"/>
    <x v="2"/>
  </r>
  <r>
    <x v="268"/>
    <x v="192"/>
    <x v="267"/>
    <x v="5"/>
    <x v="4"/>
    <x v="1"/>
    <x v="3"/>
    <x v="4"/>
    <x v="15"/>
    <x v="4"/>
    <x v="4"/>
    <x v="0"/>
  </r>
  <r>
    <x v="269"/>
    <x v="114"/>
    <x v="268"/>
    <x v="7"/>
    <x v="5"/>
    <x v="1"/>
    <x v="0"/>
    <x v="5"/>
    <x v="21"/>
    <x v="0"/>
    <x v="0"/>
    <x v="1"/>
  </r>
  <r>
    <x v="270"/>
    <x v="193"/>
    <x v="269"/>
    <x v="4"/>
    <x v="2"/>
    <x v="2"/>
    <x v="2"/>
    <x v="2"/>
    <x v="11"/>
    <x v="3"/>
    <x v="1"/>
    <x v="1"/>
  </r>
  <r>
    <x v="271"/>
    <x v="194"/>
    <x v="270"/>
    <x v="7"/>
    <x v="0"/>
    <x v="0"/>
    <x v="4"/>
    <x v="0"/>
    <x v="8"/>
    <x v="0"/>
    <x v="0"/>
    <x v="2"/>
  </r>
  <r>
    <x v="272"/>
    <x v="153"/>
    <x v="271"/>
    <x v="7"/>
    <x v="1"/>
    <x v="1"/>
    <x v="4"/>
    <x v="1"/>
    <x v="26"/>
    <x v="3"/>
    <x v="1"/>
    <x v="2"/>
  </r>
  <r>
    <x v="273"/>
    <x v="38"/>
    <x v="272"/>
    <x v="8"/>
    <x v="3"/>
    <x v="0"/>
    <x v="3"/>
    <x v="3"/>
    <x v="3"/>
    <x v="1"/>
    <x v="2"/>
    <x v="1"/>
  </r>
  <r>
    <x v="274"/>
    <x v="155"/>
    <x v="273"/>
    <x v="3"/>
    <x v="1"/>
    <x v="1"/>
    <x v="5"/>
    <x v="1"/>
    <x v="27"/>
    <x v="5"/>
    <x v="0"/>
    <x v="1"/>
  </r>
  <r>
    <x v="275"/>
    <x v="195"/>
    <x v="274"/>
    <x v="1"/>
    <x v="2"/>
    <x v="2"/>
    <x v="5"/>
    <x v="2"/>
    <x v="13"/>
    <x v="5"/>
    <x v="2"/>
    <x v="2"/>
  </r>
  <r>
    <x v="276"/>
    <x v="196"/>
    <x v="275"/>
    <x v="11"/>
    <x v="0"/>
    <x v="0"/>
    <x v="3"/>
    <x v="0"/>
    <x v="7"/>
    <x v="2"/>
    <x v="4"/>
    <x v="0"/>
  </r>
  <r>
    <x v="277"/>
    <x v="127"/>
    <x v="276"/>
    <x v="2"/>
    <x v="3"/>
    <x v="0"/>
    <x v="0"/>
    <x v="3"/>
    <x v="2"/>
    <x v="1"/>
    <x v="3"/>
    <x v="2"/>
  </r>
  <r>
    <x v="278"/>
    <x v="38"/>
    <x v="277"/>
    <x v="0"/>
    <x v="4"/>
    <x v="1"/>
    <x v="1"/>
    <x v="4"/>
    <x v="5"/>
    <x v="1"/>
    <x v="1"/>
    <x v="2"/>
  </r>
  <r>
    <x v="279"/>
    <x v="197"/>
    <x v="278"/>
    <x v="10"/>
    <x v="0"/>
    <x v="0"/>
    <x v="2"/>
    <x v="0"/>
    <x v="6"/>
    <x v="5"/>
    <x v="0"/>
    <x v="2"/>
  </r>
  <r>
    <x v="280"/>
    <x v="198"/>
    <x v="279"/>
    <x v="5"/>
    <x v="2"/>
    <x v="2"/>
    <x v="0"/>
    <x v="2"/>
    <x v="1"/>
    <x v="0"/>
    <x v="0"/>
    <x v="2"/>
  </r>
  <r>
    <x v="281"/>
    <x v="100"/>
    <x v="280"/>
    <x v="9"/>
    <x v="3"/>
    <x v="0"/>
    <x v="3"/>
    <x v="3"/>
    <x v="3"/>
    <x v="0"/>
    <x v="2"/>
    <x v="2"/>
  </r>
  <r>
    <x v="282"/>
    <x v="199"/>
    <x v="281"/>
    <x v="8"/>
    <x v="2"/>
    <x v="2"/>
    <x v="5"/>
    <x v="2"/>
    <x v="13"/>
    <x v="1"/>
    <x v="1"/>
    <x v="0"/>
  </r>
  <r>
    <x v="283"/>
    <x v="84"/>
    <x v="282"/>
    <x v="11"/>
    <x v="3"/>
    <x v="0"/>
    <x v="0"/>
    <x v="3"/>
    <x v="2"/>
    <x v="2"/>
    <x v="1"/>
    <x v="2"/>
  </r>
  <r>
    <x v="284"/>
    <x v="200"/>
    <x v="283"/>
    <x v="8"/>
    <x v="1"/>
    <x v="1"/>
    <x v="4"/>
    <x v="1"/>
    <x v="26"/>
    <x v="0"/>
    <x v="0"/>
    <x v="0"/>
  </r>
  <r>
    <x v="285"/>
    <x v="6"/>
    <x v="284"/>
    <x v="4"/>
    <x v="4"/>
    <x v="1"/>
    <x v="1"/>
    <x v="4"/>
    <x v="5"/>
    <x v="2"/>
    <x v="0"/>
    <x v="0"/>
  </r>
  <r>
    <x v="286"/>
    <x v="106"/>
    <x v="285"/>
    <x v="1"/>
    <x v="5"/>
    <x v="1"/>
    <x v="1"/>
    <x v="5"/>
    <x v="9"/>
    <x v="3"/>
    <x v="0"/>
    <x v="2"/>
  </r>
  <r>
    <x v="287"/>
    <x v="201"/>
    <x v="286"/>
    <x v="8"/>
    <x v="4"/>
    <x v="1"/>
    <x v="5"/>
    <x v="4"/>
    <x v="22"/>
    <x v="4"/>
    <x v="2"/>
    <x v="2"/>
  </r>
  <r>
    <x v="288"/>
    <x v="202"/>
    <x v="287"/>
    <x v="9"/>
    <x v="0"/>
    <x v="0"/>
    <x v="1"/>
    <x v="0"/>
    <x v="3"/>
    <x v="0"/>
    <x v="3"/>
    <x v="1"/>
  </r>
  <r>
    <x v="289"/>
    <x v="203"/>
    <x v="288"/>
    <x v="3"/>
    <x v="1"/>
    <x v="1"/>
    <x v="0"/>
    <x v="1"/>
    <x v="12"/>
    <x v="0"/>
    <x v="4"/>
    <x v="1"/>
  </r>
  <r>
    <x v="290"/>
    <x v="204"/>
    <x v="289"/>
    <x v="7"/>
    <x v="3"/>
    <x v="0"/>
    <x v="1"/>
    <x v="3"/>
    <x v="6"/>
    <x v="2"/>
    <x v="1"/>
    <x v="2"/>
  </r>
  <r>
    <x v="291"/>
    <x v="205"/>
    <x v="290"/>
    <x v="6"/>
    <x v="5"/>
    <x v="1"/>
    <x v="1"/>
    <x v="5"/>
    <x v="9"/>
    <x v="4"/>
    <x v="1"/>
    <x v="2"/>
  </r>
  <r>
    <x v="292"/>
    <x v="45"/>
    <x v="153"/>
    <x v="7"/>
    <x v="3"/>
    <x v="0"/>
    <x v="2"/>
    <x v="3"/>
    <x v="10"/>
    <x v="1"/>
    <x v="2"/>
    <x v="2"/>
  </r>
  <r>
    <x v="293"/>
    <x v="206"/>
    <x v="291"/>
    <x v="6"/>
    <x v="0"/>
    <x v="0"/>
    <x v="5"/>
    <x v="0"/>
    <x v="14"/>
    <x v="1"/>
    <x v="2"/>
    <x v="0"/>
  </r>
  <r>
    <x v="294"/>
    <x v="207"/>
    <x v="292"/>
    <x v="10"/>
    <x v="1"/>
    <x v="1"/>
    <x v="2"/>
    <x v="1"/>
    <x v="2"/>
    <x v="4"/>
    <x v="0"/>
    <x v="0"/>
  </r>
  <r>
    <x v="295"/>
    <x v="208"/>
    <x v="293"/>
    <x v="9"/>
    <x v="1"/>
    <x v="1"/>
    <x v="1"/>
    <x v="1"/>
    <x v="0"/>
    <x v="0"/>
    <x v="0"/>
    <x v="2"/>
  </r>
  <r>
    <x v="296"/>
    <x v="209"/>
    <x v="294"/>
    <x v="2"/>
    <x v="1"/>
    <x v="1"/>
    <x v="3"/>
    <x v="1"/>
    <x v="4"/>
    <x v="4"/>
    <x v="1"/>
    <x v="0"/>
  </r>
  <r>
    <x v="297"/>
    <x v="148"/>
    <x v="295"/>
    <x v="8"/>
    <x v="5"/>
    <x v="1"/>
    <x v="0"/>
    <x v="5"/>
    <x v="21"/>
    <x v="4"/>
    <x v="1"/>
    <x v="1"/>
  </r>
  <r>
    <x v="298"/>
    <x v="135"/>
    <x v="296"/>
    <x v="5"/>
    <x v="4"/>
    <x v="1"/>
    <x v="1"/>
    <x v="4"/>
    <x v="5"/>
    <x v="5"/>
    <x v="0"/>
    <x v="0"/>
  </r>
  <r>
    <x v="299"/>
    <x v="145"/>
    <x v="297"/>
    <x v="5"/>
    <x v="5"/>
    <x v="1"/>
    <x v="2"/>
    <x v="5"/>
    <x v="17"/>
    <x v="0"/>
    <x v="0"/>
    <x v="0"/>
  </r>
  <r>
    <x v="300"/>
    <x v="210"/>
    <x v="298"/>
    <x v="7"/>
    <x v="2"/>
    <x v="2"/>
    <x v="4"/>
    <x v="2"/>
    <x v="23"/>
    <x v="0"/>
    <x v="1"/>
    <x v="1"/>
  </r>
  <r>
    <x v="301"/>
    <x v="158"/>
    <x v="299"/>
    <x v="10"/>
    <x v="3"/>
    <x v="0"/>
    <x v="5"/>
    <x v="3"/>
    <x v="1"/>
    <x v="5"/>
    <x v="4"/>
    <x v="1"/>
  </r>
  <r>
    <x v="302"/>
    <x v="11"/>
    <x v="300"/>
    <x v="11"/>
    <x v="2"/>
    <x v="2"/>
    <x v="5"/>
    <x v="2"/>
    <x v="13"/>
    <x v="3"/>
    <x v="2"/>
    <x v="2"/>
  </r>
  <r>
    <x v="303"/>
    <x v="211"/>
    <x v="301"/>
    <x v="0"/>
    <x v="1"/>
    <x v="1"/>
    <x v="2"/>
    <x v="1"/>
    <x v="2"/>
    <x v="5"/>
    <x v="0"/>
    <x v="0"/>
  </r>
  <r>
    <x v="304"/>
    <x v="45"/>
    <x v="302"/>
    <x v="3"/>
    <x v="5"/>
    <x v="1"/>
    <x v="1"/>
    <x v="5"/>
    <x v="9"/>
    <x v="1"/>
    <x v="3"/>
    <x v="2"/>
  </r>
  <r>
    <x v="305"/>
    <x v="199"/>
    <x v="303"/>
    <x v="8"/>
    <x v="0"/>
    <x v="0"/>
    <x v="2"/>
    <x v="0"/>
    <x v="6"/>
    <x v="3"/>
    <x v="1"/>
    <x v="2"/>
  </r>
  <r>
    <x v="306"/>
    <x v="54"/>
    <x v="304"/>
    <x v="9"/>
    <x v="0"/>
    <x v="0"/>
    <x v="2"/>
    <x v="0"/>
    <x v="6"/>
    <x v="5"/>
    <x v="3"/>
    <x v="1"/>
  </r>
  <r>
    <x v="307"/>
    <x v="101"/>
    <x v="305"/>
    <x v="1"/>
    <x v="4"/>
    <x v="1"/>
    <x v="1"/>
    <x v="4"/>
    <x v="5"/>
    <x v="0"/>
    <x v="0"/>
    <x v="1"/>
  </r>
  <r>
    <x v="308"/>
    <x v="72"/>
    <x v="306"/>
    <x v="2"/>
    <x v="4"/>
    <x v="1"/>
    <x v="2"/>
    <x v="4"/>
    <x v="19"/>
    <x v="4"/>
    <x v="3"/>
    <x v="2"/>
  </r>
  <r>
    <x v="309"/>
    <x v="212"/>
    <x v="307"/>
    <x v="0"/>
    <x v="3"/>
    <x v="0"/>
    <x v="0"/>
    <x v="3"/>
    <x v="2"/>
    <x v="5"/>
    <x v="0"/>
    <x v="1"/>
  </r>
  <r>
    <x v="310"/>
    <x v="213"/>
    <x v="308"/>
    <x v="6"/>
    <x v="2"/>
    <x v="2"/>
    <x v="0"/>
    <x v="2"/>
    <x v="1"/>
    <x v="4"/>
    <x v="2"/>
    <x v="0"/>
  </r>
  <r>
    <x v="311"/>
    <x v="140"/>
    <x v="309"/>
    <x v="8"/>
    <x v="2"/>
    <x v="2"/>
    <x v="2"/>
    <x v="2"/>
    <x v="11"/>
    <x v="4"/>
    <x v="2"/>
    <x v="2"/>
  </r>
  <r>
    <x v="312"/>
    <x v="148"/>
    <x v="310"/>
    <x v="11"/>
    <x v="3"/>
    <x v="0"/>
    <x v="2"/>
    <x v="3"/>
    <x v="10"/>
    <x v="2"/>
    <x v="1"/>
    <x v="2"/>
  </r>
  <r>
    <x v="313"/>
    <x v="77"/>
    <x v="311"/>
    <x v="0"/>
    <x v="3"/>
    <x v="0"/>
    <x v="1"/>
    <x v="3"/>
    <x v="6"/>
    <x v="4"/>
    <x v="4"/>
    <x v="2"/>
  </r>
  <r>
    <x v="314"/>
    <x v="214"/>
    <x v="312"/>
    <x v="10"/>
    <x v="5"/>
    <x v="1"/>
    <x v="1"/>
    <x v="5"/>
    <x v="9"/>
    <x v="1"/>
    <x v="0"/>
    <x v="1"/>
  </r>
  <r>
    <x v="315"/>
    <x v="34"/>
    <x v="313"/>
    <x v="10"/>
    <x v="5"/>
    <x v="1"/>
    <x v="5"/>
    <x v="5"/>
    <x v="7"/>
    <x v="3"/>
    <x v="0"/>
    <x v="1"/>
  </r>
  <r>
    <x v="316"/>
    <x v="46"/>
    <x v="314"/>
    <x v="6"/>
    <x v="3"/>
    <x v="0"/>
    <x v="1"/>
    <x v="3"/>
    <x v="6"/>
    <x v="4"/>
    <x v="3"/>
    <x v="2"/>
  </r>
  <r>
    <x v="317"/>
    <x v="215"/>
    <x v="9"/>
    <x v="0"/>
    <x v="3"/>
    <x v="0"/>
    <x v="1"/>
    <x v="3"/>
    <x v="6"/>
    <x v="5"/>
    <x v="3"/>
    <x v="1"/>
  </r>
  <r>
    <x v="318"/>
    <x v="39"/>
    <x v="315"/>
    <x v="0"/>
    <x v="1"/>
    <x v="1"/>
    <x v="0"/>
    <x v="1"/>
    <x v="12"/>
    <x v="3"/>
    <x v="2"/>
    <x v="2"/>
  </r>
  <r>
    <x v="319"/>
    <x v="216"/>
    <x v="316"/>
    <x v="11"/>
    <x v="2"/>
    <x v="2"/>
    <x v="5"/>
    <x v="2"/>
    <x v="13"/>
    <x v="2"/>
    <x v="2"/>
    <x v="0"/>
  </r>
  <r>
    <x v="320"/>
    <x v="217"/>
    <x v="317"/>
    <x v="3"/>
    <x v="3"/>
    <x v="0"/>
    <x v="1"/>
    <x v="3"/>
    <x v="6"/>
    <x v="3"/>
    <x v="3"/>
    <x v="2"/>
  </r>
  <r>
    <x v="321"/>
    <x v="56"/>
    <x v="318"/>
    <x v="10"/>
    <x v="2"/>
    <x v="2"/>
    <x v="1"/>
    <x v="2"/>
    <x v="28"/>
    <x v="3"/>
    <x v="1"/>
    <x v="0"/>
  </r>
  <r>
    <x v="322"/>
    <x v="218"/>
    <x v="319"/>
    <x v="4"/>
    <x v="3"/>
    <x v="0"/>
    <x v="5"/>
    <x v="3"/>
    <x v="1"/>
    <x v="5"/>
    <x v="1"/>
    <x v="1"/>
  </r>
  <r>
    <x v="323"/>
    <x v="69"/>
    <x v="320"/>
    <x v="11"/>
    <x v="5"/>
    <x v="1"/>
    <x v="0"/>
    <x v="5"/>
    <x v="21"/>
    <x v="3"/>
    <x v="3"/>
    <x v="1"/>
  </r>
  <r>
    <x v="324"/>
    <x v="219"/>
    <x v="321"/>
    <x v="4"/>
    <x v="3"/>
    <x v="0"/>
    <x v="5"/>
    <x v="3"/>
    <x v="1"/>
    <x v="3"/>
    <x v="4"/>
    <x v="0"/>
  </r>
  <r>
    <x v="325"/>
    <x v="167"/>
    <x v="322"/>
    <x v="1"/>
    <x v="3"/>
    <x v="0"/>
    <x v="5"/>
    <x v="3"/>
    <x v="1"/>
    <x v="4"/>
    <x v="3"/>
    <x v="2"/>
  </r>
  <r>
    <x v="326"/>
    <x v="50"/>
    <x v="323"/>
    <x v="4"/>
    <x v="4"/>
    <x v="1"/>
    <x v="2"/>
    <x v="4"/>
    <x v="19"/>
    <x v="3"/>
    <x v="1"/>
    <x v="1"/>
  </r>
  <r>
    <x v="327"/>
    <x v="220"/>
    <x v="324"/>
    <x v="4"/>
    <x v="1"/>
    <x v="1"/>
    <x v="0"/>
    <x v="1"/>
    <x v="12"/>
    <x v="3"/>
    <x v="2"/>
    <x v="1"/>
  </r>
  <r>
    <x v="328"/>
    <x v="221"/>
    <x v="325"/>
    <x v="2"/>
    <x v="5"/>
    <x v="1"/>
    <x v="2"/>
    <x v="5"/>
    <x v="17"/>
    <x v="1"/>
    <x v="4"/>
    <x v="2"/>
  </r>
  <r>
    <x v="329"/>
    <x v="222"/>
    <x v="326"/>
    <x v="1"/>
    <x v="2"/>
    <x v="2"/>
    <x v="2"/>
    <x v="2"/>
    <x v="11"/>
    <x v="3"/>
    <x v="2"/>
    <x v="0"/>
  </r>
  <r>
    <x v="330"/>
    <x v="182"/>
    <x v="327"/>
    <x v="5"/>
    <x v="4"/>
    <x v="1"/>
    <x v="4"/>
    <x v="4"/>
    <x v="25"/>
    <x v="5"/>
    <x v="3"/>
    <x v="0"/>
  </r>
  <r>
    <x v="331"/>
    <x v="170"/>
    <x v="328"/>
    <x v="9"/>
    <x v="2"/>
    <x v="2"/>
    <x v="3"/>
    <x v="2"/>
    <x v="18"/>
    <x v="2"/>
    <x v="0"/>
    <x v="1"/>
  </r>
  <r>
    <x v="332"/>
    <x v="181"/>
    <x v="329"/>
    <x v="7"/>
    <x v="1"/>
    <x v="1"/>
    <x v="3"/>
    <x v="1"/>
    <x v="4"/>
    <x v="3"/>
    <x v="4"/>
    <x v="2"/>
  </r>
  <r>
    <x v="333"/>
    <x v="132"/>
    <x v="330"/>
    <x v="1"/>
    <x v="1"/>
    <x v="1"/>
    <x v="1"/>
    <x v="1"/>
    <x v="0"/>
    <x v="0"/>
    <x v="1"/>
    <x v="2"/>
  </r>
  <r>
    <x v="334"/>
    <x v="130"/>
    <x v="331"/>
    <x v="1"/>
    <x v="2"/>
    <x v="2"/>
    <x v="3"/>
    <x v="2"/>
    <x v="18"/>
    <x v="1"/>
    <x v="0"/>
    <x v="2"/>
  </r>
  <r>
    <x v="335"/>
    <x v="15"/>
    <x v="332"/>
    <x v="3"/>
    <x v="1"/>
    <x v="1"/>
    <x v="3"/>
    <x v="1"/>
    <x v="4"/>
    <x v="2"/>
    <x v="1"/>
    <x v="1"/>
  </r>
  <r>
    <x v="336"/>
    <x v="168"/>
    <x v="113"/>
    <x v="8"/>
    <x v="4"/>
    <x v="1"/>
    <x v="1"/>
    <x v="4"/>
    <x v="5"/>
    <x v="2"/>
    <x v="1"/>
    <x v="1"/>
  </r>
  <r>
    <x v="337"/>
    <x v="223"/>
    <x v="333"/>
    <x v="7"/>
    <x v="1"/>
    <x v="1"/>
    <x v="3"/>
    <x v="1"/>
    <x v="4"/>
    <x v="0"/>
    <x v="0"/>
    <x v="2"/>
  </r>
  <r>
    <x v="338"/>
    <x v="150"/>
    <x v="334"/>
    <x v="5"/>
    <x v="3"/>
    <x v="0"/>
    <x v="4"/>
    <x v="3"/>
    <x v="14"/>
    <x v="2"/>
    <x v="1"/>
    <x v="1"/>
  </r>
  <r>
    <x v="339"/>
    <x v="207"/>
    <x v="335"/>
    <x v="4"/>
    <x v="5"/>
    <x v="1"/>
    <x v="2"/>
    <x v="5"/>
    <x v="17"/>
    <x v="1"/>
    <x v="0"/>
    <x v="1"/>
  </r>
  <r>
    <x v="340"/>
    <x v="27"/>
    <x v="336"/>
    <x v="7"/>
    <x v="3"/>
    <x v="0"/>
    <x v="2"/>
    <x v="3"/>
    <x v="10"/>
    <x v="1"/>
    <x v="0"/>
    <x v="1"/>
  </r>
  <r>
    <x v="341"/>
    <x v="51"/>
    <x v="337"/>
    <x v="10"/>
    <x v="3"/>
    <x v="0"/>
    <x v="3"/>
    <x v="3"/>
    <x v="3"/>
    <x v="3"/>
    <x v="2"/>
    <x v="1"/>
  </r>
  <r>
    <x v="342"/>
    <x v="224"/>
    <x v="338"/>
    <x v="6"/>
    <x v="2"/>
    <x v="2"/>
    <x v="3"/>
    <x v="2"/>
    <x v="18"/>
    <x v="3"/>
    <x v="4"/>
    <x v="0"/>
  </r>
  <r>
    <x v="343"/>
    <x v="158"/>
    <x v="339"/>
    <x v="5"/>
    <x v="1"/>
    <x v="1"/>
    <x v="0"/>
    <x v="1"/>
    <x v="12"/>
    <x v="1"/>
    <x v="1"/>
    <x v="1"/>
  </r>
  <r>
    <x v="344"/>
    <x v="225"/>
    <x v="340"/>
    <x v="6"/>
    <x v="4"/>
    <x v="1"/>
    <x v="1"/>
    <x v="4"/>
    <x v="5"/>
    <x v="1"/>
    <x v="1"/>
    <x v="1"/>
  </r>
  <r>
    <x v="345"/>
    <x v="226"/>
    <x v="341"/>
    <x v="4"/>
    <x v="0"/>
    <x v="0"/>
    <x v="3"/>
    <x v="0"/>
    <x v="7"/>
    <x v="5"/>
    <x v="2"/>
    <x v="2"/>
  </r>
  <r>
    <x v="346"/>
    <x v="227"/>
    <x v="342"/>
    <x v="6"/>
    <x v="0"/>
    <x v="0"/>
    <x v="3"/>
    <x v="0"/>
    <x v="7"/>
    <x v="3"/>
    <x v="0"/>
    <x v="0"/>
  </r>
  <r>
    <x v="347"/>
    <x v="228"/>
    <x v="343"/>
    <x v="6"/>
    <x v="2"/>
    <x v="2"/>
    <x v="1"/>
    <x v="2"/>
    <x v="28"/>
    <x v="2"/>
    <x v="3"/>
    <x v="0"/>
  </r>
  <r>
    <x v="348"/>
    <x v="115"/>
    <x v="344"/>
    <x v="3"/>
    <x v="2"/>
    <x v="2"/>
    <x v="0"/>
    <x v="2"/>
    <x v="1"/>
    <x v="3"/>
    <x v="1"/>
    <x v="2"/>
  </r>
  <r>
    <x v="349"/>
    <x v="229"/>
    <x v="345"/>
    <x v="1"/>
    <x v="0"/>
    <x v="0"/>
    <x v="3"/>
    <x v="0"/>
    <x v="7"/>
    <x v="1"/>
    <x v="1"/>
    <x v="1"/>
  </r>
  <r>
    <x v="350"/>
    <x v="141"/>
    <x v="346"/>
    <x v="1"/>
    <x v="1"/>
    <x v="1"/>
    <x v="0"/>
    <x v="1"/>
    <x v="12"/>
    <x v="0"/>
    <x v="3"/>
    <x v="0"/>
  </r>
  <r>
    <x v="351"/>
    <x v="191"/>
    <x v="347"/>
    <x v="7"/>
    <x v="4"/>
    <x v="1"/>
    <x v="2"/>
    <x v="4"/>
    <x v="19"/>
    <x v="3"/>
    <x v="3"/>
    <x v="2"/>
  </r>
  <r>
    <x v="352"/>
    <x v="199"/>
    <x v="348"/>
    <x v="3"/>
    <x v="0"/>
    <x v="0"/>
    <x v="0"/>
    <x v="0"/>
    <x v="0"/>
    <x v="2"/>
    <x v="3"/>
    <x v="2"/>
  </r>
  <r>
    <x v="353"/>
    <x v="230"/>
    <x v="349"/>
    <x v="11"/>
    <x v="1"/>
    <x v="1"/>
    <x v="2"/>
    <x v="1"/>
    <x v="2"/>
    <x v="2"/>
    <x v="4"/>
    <x v="1"/>
  </r>
  <r>
    <x v="354"/>
    <x v="231"/>
    <x v="350"/>
    <x v="9"/>
    <x v="3"/>
    <x v="0"/>
    <x v="0"/>
    <x v="3"/>
    <x v="2"/>
    <x v="4"/>
    <x v="0"/>
    <x v="1"/>
  </r>
  <r>
    <x v="355"/>
    <x v="232"/>
    <x v="351"/>
    <x v="11"/>
    <x v="0"/>
    <x v="0"/>
    <x v="2"/>
    <x v="0"/>
    <x v="6"/>
    <x v="5"/>
    <x v="0"/>
    <x v="0"/>
  </r>
  <r>
    <x v="356"/>
    <x v="233"/>
    <x v="352"/>
    <x v="0"/>
    <x v="4"/>
    <x v="1"/>
    <x v="0"/>
    <x v="4"/>
    <x v="24"/>
    <x v="5"/>
    <x v="3"/>
    <x v="2"/>
  </r>
  <r>
    <x v="357"/>
    <x v="219"/>
    <x v="353"/>
    <x v="1"/>
    <x v="0"/>
    <x v="0"/>
    <x v="0"/>
    <x v="0"/>
    <x v="0"/>
    <x v="3"/>
    <x v="4"/>
    <x v="2"/>
  </r>
  <r>
    <x v="358"/>
    <x v="234"/>
    <x v="354"/>
    <x v="5"/>
    <x v="2"/>
    <x v="2"/>
    <x v="5"/>
    <x v="2"/>
    <x v="13"/>
    <x v="4"/>
    <x v="2"/>
    <x v="2"/>
  </r>
  <r>
    <x v="359"/>
    <x v="235"/>
    <x v="355"/>
    <x v="4"/>
    <x v="0"/>
    <x v="0"/>
    <x v="0"/>
    <x v="0"/>
    <x v="0"/>
    <x v="5"/>
    <x v="0"/>
    <x v="0"/>
  </r>
  <r>
    <x v="360"/>
    <x v="236"/>
    <x v="356"/>
    <x v="7"/>
    <x v="2"/>
    <x v="2"/>
    <x v="0"/>
    <x v="2"/>
    <x v="1"/>
    <x v="0"/>
    <x v="3"/>
    <x v="2"/>
  </r>
  <r>
    <x v="361"/>
    <x v="147"/>
    <x v="357"/>
    <x v="3"/>
    <x v="0"/>
    <x v="0"/>
    <x v="1"/>
    <x v="0"/>
    <x v="3"/>
    <x v="4"/>
    <x v="0"/>
    <x v="2"/>
  </r>
  <r>
    <x v="362"/>
    <x v="237"/>
    <x v="358"/>
    <x v="5"/>
    <x v="3"/>
    <x v="0"/>
    <x v="5"/>
    <x v="3"/>
    <x v="1"/>
    <x v="0"/>
    <x v="3"/>
    <x v="0"/>
  </r>
  <r>
    <x v="363"/>
    <x v="238"/>
    <x v="359"/>
    <x v="2"/>
    <x v="4"/>
    <x v="1"/>
    <x v="3"/>
    <x v="4"/>
    <x v="15"/>
    <x v="0"/>
    <x v="4"/>
    <x v="2"/>
  </r>
  <r>
    <x v="364"/>
    <x v="239"/>
    <x v="360"/>
    <x v="10"/>
    <x v="1"/>
    <x v="1"/>
    <x v="0"/>
    <x v="1"/>
    <x v="12"/>
    <x v="3"/>
    <x v="0"/>
    <x v="2"/>
  </r>
  <r>
    <x v="365"/>
    <x v="240"/>
    <x v="361"/>
    <x v="4"/>
    <x v="3"/>
    <x v="0"/>
    <x v="5"/>
    <x v="3"/>
    <x v="1"/>
    <x v="2"/>
    <x v="2"/>
    <x v="1"/>
  </r>
  <r>
    <x v="366"/>
    <x v="84"/>
    <x v="362"/>
    <x v="1"/>
    <x v="0"/>
    <x v="0"/>
    <x v="0"/>
    <x v="0"/>
    <x v="0"/>
    <x v="2"/>
    <x v="3"/>
    <x v="2"/>
  </r>
  <r>
    <x v="367"/>
    <x v="120"/>
    <x v="363"/>
    <x v="9"/>
    <x v="2"/>
    <x v="2"/>
    <x v="4"/>
    <x v="2"/>
    <x v="23"/>
    <x v="1"/>
    <x v="4"/>
    <x v="1"/>
  </r>
  <r>
    <x v="368"/>
    <x v="209"/>
    <x v="364"/>
    <x v="10"/>
    <x v="2"/>
    <x v="2"/>
    <x v="0"/>
    <x v="2"/>
    <x v="1"/>
    <x v="4"/>
    <x v="0"/>
    <x v="2"/>
  </r>
  <r>
    <x v="369"/>
    <x v="26"/>
    <x v="365"/>
    <x v="9"/>
    <x v="5"/>
    <x v="1"/>
    <x v="5"/>
    <x v="5"/>
    <x v="7"/>
    <x v="3"/>
    <x v="0"/>
    <x v="0"/>
  </r>
  <r>
    <x v="370"/>
    <x v="227"/>
    <x v="366"/>
    <x v="8"/>
    <x v="1"/>
    <x v="1"/>
    <x v="2"/>
    <x v="1"/>
    <x v="2"/>
    <x v="0"/>
    <x v="2"/>
    <x v="2"/>
  </r>
  <r>
    <x v="371"/>
    <x v="241"/>
    <x v="367"/>
    <x v="0"/>
    <x v="5"/>
    <x v="1"/>
    <x v="3"/>
    <x v="5"/>
    <x v="16"/>
    <x v="1"/>
    <x v="0"/>
    <x v="0"/>
  </r>
  <r>
    <x v="372"/>
    <x v="141"/>
    <x v="368"/>
    <x v="5"/>
    <x v="5"/>
    <x v="1"/>
    <x v="3"/>
    <x v="5"/>
    <x v="16"/>
    <x v="3"/>
    <x v="0"/>
    <x v="2"/>
  </r>
  <r>
    <x v="373"/>
    <x v="31"/>
    <x v="369"/>
    <x v="0"/>
    <x v="1"/>
    <x v="1"/>
    <x v="2"/>
    <x v="1"/>
    <x v="2"/>
    <x v="5"/>
    <x v="2"/>
    <x v="0"/>
  </r>
  <r>
    <x v="374"/>
    <x v="108"/>
    <x v="370"/>
    <x v="6"/>
    <x v="4"/>
    <x v="1"/>
    <x v="5"/>
    <x v="4"/>
    <x v="22"/>
    <x v="5"/>
    <x v="0"/>
    <x v="1"/>
  </r>
  <r>
    <x v="375"/>
    <x v="242"/>
    <x v="371"/>
    <x v="2"/>
    <x v="5"/>
    <x v="1"/>
    <x v="4"/>
    <x v="5"/>
    <x v="20"/>
    <x v="3"/>
    <x v="4"/>
    <x v="1"/>
  </r>
  <r>
    <x v="376"/>
    <x v="23"/>
    <x v="372"/>
    <x v="0"/>
    <x v="3"/>
    <x v="0"/>
    <x v="3"/>
    <x v="3"/>
    <x v="3"/>
    <x v="1"/>
    <x v="3"/>
    <x v="2"/>
  </r>
  <r>
    <x v="377"/>
    <x v="234"/>
    <x v="373"/>
    <x v="0"/>
    <x v="5"/>
    <x v="1"/>
    <x v="1"/>
    <x v="5"/>
    <x v="9"/>
    <x v="2"/>
    <x v="0"/>
    <x v="0"/>
  </r>
  <r>
    <x v="378"/>
    <x v="106"/>
    <x v="374"/>
    <x v="2"/>
    <x v="0"/>
    <x v="0"/>
    <x v="5"/>
    <x v="0"/>
    <x v="14"/>
    <x v="4"/>
    <x v="1"/>
    <x v="0"/>
  </r>
  <r>
    <x v="379"/>
    <x v="118"/>
    <x v="375"/>
    <x v="8"/>
    <x v="5"/>
    <x v="1"/>
    <x v="0"/>
    <x v="5"/>
    <x v="21"/>
    <x v="3"/>
    <x v="3"/>
    <x v="0"/>
  </r>
  <r>
    <x v="380"/>
    <x v="243"/>
    <x v="376"/>
    <x v="6"/>
    <x v="2"/>
    <x v="2"/>
    <x v="4"/>
    <x v="2"/>
    <x v="23"/>
    <x v="3"/>
    <x v="0"/>
    <x v="1"/>
  </r>
  <r>
    <x v="381"/>
    <x v="150"/>
    <x v="377"/>
    <x v="5"/>
    <x v="5"/>
    <x v="1"/>
    <x v="3"/>
    <x v="5"/>
    <x v="16"/>
    <x v="0"/>
    <x v="2"/>
    <x v="1"/>
  </r>
  <r>
    <x v="382"/>
    <x v="244"/>
    <x v="378"/>
    <x v="6"/>
    <x v="2"/>
    <x v="2"/>
    <x v="5"/>
    <x v="2"/>
    <x v="13"/>
    <x v="4"/>
    <x v="4"/>
    <x v="1"/>
  </r>
  <r>
    <x v="383"/>
    <x v="245"/>
    <x v="379"/>
    <x v="6"/>
    <x v="0"/>
    <x v="0"/>
    <x v="2"/>
    <x v="0"/>
    <x v="6"/>
    <x v="2"/>
    <x v="4"/>
    <x v="2"/>
  </r>
  <r>
    <x v="384"/>
    <x v="62"/>
    <x v="380"/>
    <x v="4"/>
    <x v="3"/>
    <x v="0"/>
    <x v="0"/>
    <x v="3"/>
    <x v="2"/>
    <x v="2"/>
    <x v="1"/>
    <x v="1"/>
  </r>
  <r>
    <x v="385"/>
    <x v="246"/>
    <x v="75"/>
    <x v="9"/>
    <x v="3"/>
    <x v="0"/>
    <x v="4"/>
    <x v="3"/>
    <x v="14"/>
    <x v="4"/>
    <x v="0"/>
    <x v="0"/>
  </r>
  <r>
    <x v="386"/>
    <x v="247"/>
    <x v="381"/>
    <x v="2"/>
    <x v="5"/>
    <x v="1"/>
    <x v="2"/>
    <x v="5"/>
    <x v="17"/>
    <x v="4"/>
    <x v="3"/>
    <x v="1"/>
  </r>
  <r>
    <x v="387"/>
    <x v="130"/>
    <x v="382"/>
    <x v="8"/>
    <x v="5"/>
    <x v="1"/>
    <x v="4"/>
    <x v="5"/>
    <x v="20"/>
    <x v="0"/>
    <x v="4"/>
    <x v="1"/>
  </r>
  <r>
    <x v="388"/>
    <x v="66"/>
    <x v="383"/>
    <x v="5"/>
    <x v="3"/>
    <x v="0"/>
    <x v="5"/>
    <x v="3"/>
    <x v="1"/>
    <x v="2"/>
    <x v="4"/>
    <x v="0"/>
  </r>
  <r>
    <x v="389"/>
    <x v="248"/>
    <x v="384"/>
    <x v="2"/>
    <x v="5"/>
    <x v="1"/>
    <x v="2"/>
    <x v="5"/>
    <x v="17"/>
    <x v="5"/>
    <x v="4"/>
    <x v="2"/>
  </r>
  <r>
    <x v="390"/>
    <x v="11"/>
    <x v="385"/>
    <x v="5"/>
    <x v="5"/>
    <x v="1"/>
    <x v="0"/>
    <x v="5"/>
    <x v="21"/>
    <x v="4"/>
    <x v="2"/>
    <x v="1"/>
  </r>
  <r>
    <x v="391"/>
    <x v="59"/>
    <x v="386"/>
    <x v="11"/>
    <x v="1"/>
    <x v="1"/>
    <x v="0"/>
    <x v="1"/>
    <x v="12"/>
    <x v="5"/>
    <x v="0"/>
    <x v="2"/>
  </r>
  <r>
    <x v="392"/>
    <x v="114"/>
    <x v="387"/>
    <x v="9"/>
    <x v="1"/>
    <x v="1"/>
    <x v="5"/>
    <x v="1"/>
    <x v="27"/>
    <x v="2"/>
    <x v="4"/>
    <x v="0"/>
  </r>
  <r>
    <x v="393"/>
    <x v="238"/>
    <x v="95"/>
    <x v="1"/>
    <x v="1"/>
    <x v="1"/>
    <x v="1"/>
    <x v="1"/>
    <x v="0"/>
    <x v="4"/>
    <x v="2"/>
    <x v="0"/>
  </r>
  <r>
    <x v="394"/>
    <x v="242"/>
    <x v="388"/>
    <x v="5"/>
    <x v="4"/>
    <x v="1"/>
    <x v="2"/>
    <x v="4"/>
    <x v="19"/>
    <x v="5"/>
    <x v="4"/>
    <x v="2"/>
  </r>
  <r>
    <x v="395"/>
    <x v="17"/>
    <x v="389"/>
    <x v="5"/>
    <x v="3"/>
    <x v="0"/>
    <x v="4"/>
    <x v="3"/>
    <x v="14"/>
    <x v="3"/>
    <x v="4"/>
    <x v="1"/>
  </r>
  <r>
    <x v="396"/>
    <x v="68"/>
    <x v="390"/>
    <x v="5"/>
    <x v="4"/>
    <x v="1"/>
    <x v="0"/>
    <x v="4"/>
    <x v="24"/>
    <x v="1"/>
    <x v="2"/>
    <x v="0"/>
  </r>
  <r>
    <x v="397"/>
    <x v="196"/>
    <x v="391"/>
    <x v="10"/>
    <x v="4"/>
    <x v="1"/>
    <x v="2"/>
    <x v="4"/>
    <x v="19"/>
    <x v="5"/>
    <x v="4"/>
    <x v="2"/>
  </r>
  <r>
    <x v="398"/>
    <x v="96"/>
    <x v="392"/>
    <x v="5"/>
    <x v="4"/>
    <x v="1"/>
    <x v="4"/>
    <x v="4"/>
    <x v="25"/>
    <x v="4"/>
    <x v="1"/>
    <x v="0"/>
  </r>
  <r>
    <x v="399"/>
    <x v="97"/>
    <x v="393"/>
    <x v="4"/>
    <x v="2"/>
    <x v="2"/>
    <x v="4"/>
    <x v="2"/>
    <x v="23"/>
    <x v="1"/>
    <x v="2"/>
    <x v="2"/>
  </r>
  <r>
    <x v="400"/>
    <x v="202"/>
    <x v="394"/>
    <x v="8"/>
    <x v="1"/>
    <x v="1"/>
    <x v="0"/>
    <x v="1"/>
    <x v="12"/>
    <x v="1"/>
    <x v="1"/>
    <x v="1"/>
  </r>
  <r>
    <x v="401"/>
    <x v="227"/>
    <x v="395"/>
    <x v="2"/>
    <x v="1"/>
    <x v="1"/>
    <x v="3"/>
    <x v="1"/>
    <x v="4"/>
    <x v="5"/>
    <x v="0"/>
    <x v="2"/>
  </r>
  <r>
    <x v="402"/>
    <x v="14"/>
    <x v="396"/>
    <x v="4"/>
    <x v="2"/>
    <x v="2"/>
    <x v="5"/>
    <x v="2"/>
    <x v="13"/>
    <x v="3"/>
    <x v="1"/>
    <x v="2"/>
  </r>
  <r>
    <x v="403"/>
    <x v="188"/>
    <x v="397"/>
    <x v="7"/>
    <x v="3"/>
    <x v="0"/>
    <x v="2"/>
    <x v="3"/>
    <x v="10"/>
    <x v="0"/>
    <x v="1"/>
    <x v="2"/>
  </r>
  <r>
    <x v="404"/>
    <x v="84"/>
    <x v="398"/>
    <x v="1"/>
    <x v="0"/>
    <x v="0"/>
    <x v="3"/>
    <x v="0"/>
    <x v="7"/>
    <x v="0"/>
    <x v="2"/>
    <x v="2"/>
  </r>
  <r>
    <x v="405"/>
    <x v="249"/>
    <x v="399"/>
    <x v="6"/>
    <x v="0"/>
    <x v="0"/>
    <x v="1"/>
    <x v="0"/>
    <x v="3"/>
    <x v="3"/>
    <x v="0"/>
    <x v="0"/>
  </r>
  <r>
    <x v="406"/>
    <x v="104"/>
    <x v="400"/>
    <x v="4"/>
    <x v="0"/>
    <x v="0"/>
    <x v="3"/>
    <x v="0"/>
    <x v="7"/>
    <x v="5"/>
    <x v="2"/>
    <x v="0"/>
  </r>
  <r>
    <x v="407"/>
    <x v="250"/>
    <x v="401"/>
    <x v="7"/>
    <x v="5"/>
    <x v="1"/>
    <x v="3"/>
    <x v="5"/>
    <x v="16"/>
    <x v="3"/>
    <x v="1"/>
    <x v="0"/>
  </r>
  <r>
    <x v="408"/>
    <x v="119"/>
    <x v="402"/>
    <x v="3"/>
    <x v="2"/>
    <x v="2"/>
    <x v="5"/>
    <x v="2"/>
    <x v="13"/>
    <x v="4"/>
    <x v="3"/>
    <x v="1"/>
  </r>
  <r>
    <x v="409"/>
    <x v="245"/>
    <x v="403"/>
    <x v="5"/>
    <x v="3"/>
    <x v="0"/>
    <x v="4"/>
    <x v="3"/>
    <x v="14"/>
    <x v="5"/>
    <x v="3"/>
    <x v="2"/>
  </r>
  <r>
    <x v="410"/>
    <x v="185"/>
    <x v="404"/>
    <x v="8"/>
    <x v="2"/>
    <x v="2"/>
    <x v="2"/>
    <x v="2"/>
    <x v="11"/>
    <x v="4"/>
    <x v="4"/>
    <x v="2"/>
  </r>
  <r>
    <x v="411"/>
    <x v="60"/>
    <x v="405"/>
    <x v="9"/>
    <x v="5"/>
    <x v="1"/>
    <x v="1"/>
    <x v="5"/>
    <x v="9"/>
    <x v="0"/>
    <x v="0"/>
    <x v="0"/>
  </r>
  <r>
    <x v="412"/>
    <x v="32"/>
    <x v="406"/>
    <x v="6"/>
    <x v="4"/>
    <x v="1"/>
    <x v="0"/>
    <x v="4"/>
    <x v="24"/>
    <x v="0"/>
    <x v="3"/>
    <x v="0"/>
  </r>
  <r>
    <x v="413"/>
    <x v="196"/>
    <x v="407"/>
    <x v="2"/>
    <x v="4"/>
    <x v="1"/>
    <x v="1"/>
    <x v="4"/>
    <x v="5"/>
    <x v="0"/>
    <x v="1"/>
    <x v="2"/>
  </r>
  <r>
    <x v="414"/>
    <x v="251"/>
    <x v="408"/>
    <x v="1"/>
    <x v="0"/>
    <x v="0"/>
    <x v="1"/>
    <x v="0"/>
    <x v="3"/>
    <x v="3"/>
    <x v="4"/>
    <x v="0"/>
  </r>
  <r>
    <x v="415"/>
    <x v="252"/>
    <x v="5"/>
    <x v="1"/>
    <x v="4"/>
    <x v="1"/>
    <x v="3"/>
    <x v="4"/>
    <x v="15"/>
    <x v="3"/>
    <x v="3"/>
    <x v="0"/>
  </r>
  <r>
    <x v="416"/>
    <x v="253"/>
    <x v="409"/>
    <x v="5"/>
    <x v="4"/>
    <x v="1"/>
    <x v="1"/>
    <x v="4"/>
    <x v="5"/>
    <x v="5"/>
    <x v="4"/>
    <x v="0"/>
  </r>
  <r>
    <x v="417"/>
    <x v="254"/>
    <x v="410"/>
    <x v="2"/>
    <x v="2"/>
    <x v="2"/>
    <x v="4"/>
    <x v="2"/>
    <x v="23"/>
    <x v="1"/>
    <x v="2"/>
    <x v="2"/>
  </r>
  <r>
    <x v="418"/>
    <x v="137"/>
    <x v="411"/>
    <x v="9"/>
    <x v="5"/>
    <x v="1"/>
    <x v="3"/>
    <x v="5"/>
    <x v="16"/>
    <x v="4"/>
    <x v="4"/>
    <x v="0"/>
  </r>
  <r>
    <x v="419"/>
    <x v="210"/>
    <x v="412"/>
    <x v="3"/>
    <x v="1"/>
    <x v="1"/>
    <x v="0"/>
    <x v="1"/>
    <x v="12"/>
    <x v="5"/>
    <x v="0"/>
    <x v="2"/>
  </r>
  <r>
    <x v="420"/>
    <x v="255"/>
    <x v="230"/>
    <x v="7"/>
    <x v="2"/>
    <x v="2"/>
    <x v="5"/>
    <x v="2"/>
    <x v="13"/>
    <x v="4"/>
    <x v="1"/>
    <x v="2"/>
  </r>
  <r>
    <x v="421"/>
    <x v="35"/>
    <x v="413"/>
    <x v="0"/>
    <x v="3"/>
    <x v="0"/>
    <x v="4"/>
    <x v="3"/>
    <x v="14"/>
    <x v="2"/>
    <x v="3"/>
    <x v="1"/>
  </r>
  <r>
    <x v="422"/>
    <x v="256"/>
    <x v="414"/>
    <x v="10"/>
    <x v="4"/>
    <x v="1"/>
    <x v="4"/>
    <x v="4"/>
    <x v="25"/>
    <x v="3"/>
    <x v="4"/>
    <x v="1"/>
  </r>
  <r>
    <x v="423"/>
    <x v="257"/>
    <x v="415"/>
    <x v="2"/>
    <x v="4"/>
    <x v="1"/>
    <x v="3"/>
    <x v="4"/>
    <x v="15"/>
    <x v="4"/>
    <x v="2"/>
    <x v="0"/>
  </r>
  <r>
    <x v="424"/>
    <x v="258"/>
    <x v="78"/>
    <x v="0"/>
    <x v="2"/>
    <x v="2"/>
    <x v="1"/>
    <x v="2"/>
    <x v="28"/>
    <x v="4"/>
    <x v="3"/>
    <x v="0"/>
  </r>
  <r>
    <x v="425"/>
    <x v="211"/>
    <x v="416"/>
    <x v="2"/>
    <x v="3"/>
    <x v="0"/>
    <x v="2"/>
    <x v="3"/>
    <x v="10"/>
    <x v="1"/>
    <x v="1"/>
    <x v="1"/>
  </r>
  <r>
    <x v="426"/>
    <x v="219"/>
    <x v="417"/>
    <x v="10"/>
    <x v="2"/>
    <x v="2"/>
    <x v="3"/>
    <x v="2"/>
    <x v="18"/>
    <x v="5"/>
    <x v="4"/>
    <x v="2"/>
  </r>
  <r>
    <x v="427"/>
    <x v="259"/>
    <x v="418"/>
    <x v="6"/>
    <x v="4"/>
    <x v="1"/>
    <x v="2"/>
    <x v="4"/>
    <x v="19"/>
    <x v="3"/>
    <x v="3"/>
    <x v="2"/>
  </r>
  <r>
    <x v="428"/>
    <x v="143"/>
    <x v="419"/>
    <x v="1"/>
    <x v="0"/>
    <x v="0"/>
    <x v="4"/>
    <x v="0"/>
    <x v="8"/>
    <x v="2"/>
    <x v="1"/>
    <x v="2"/>
  </r>
  <r>
    <x v="429"/>
    <x v="37"/>
    <x v="420"/>
    <x v="4"/>
    <x v="5"/>
    <x v="1"/>
    <x v="3"/>
    <x v="5"/>
    <x v="16"/>
    <x v="0"/>
    <x v="1"/>
    <x v="2"/>
  </r>
  <r>
    <x v="430"/>
    <x v="60"/>
    <x v="421"/>
    <x v="7"/>
    <x v="0"/>
    <x v="0"/>
    <x v="3"/>
    <x v="0"/>
    <x v="7"/>
    <x v="2"/>
    <x v="4"/>
    <x v="1"/>
  </r>
  <r>
    <x v="431"/>
    <x v="260"/>
    <x v="422"/>
    <x v="11"/>
    <x v="0"/>
    <x v="0"/>
    <x v="4"/>
    <x v="0"/>
    <x v="8"/>
    <x v="3"/>
    <x v="2"/>
    <x v="2"/>
  </r>
  <r>
    <x v="432"/>
    <x v="90"/>
    <x v="423"/>
    <x v="6"/>
    <x v="1"/>
    <x v="1"/>
    <x v="5"/>
    <x v="1"/>
    <x v="27"/>
    <x v="0"/>
    <x v="3"/>
    <x v="1"/>
  </r>
  <r>
    <x v="433"/>
    <x v="146"/>
    <x v="424"/>
    <x v="4"/>
    <x v="3"/>
    <x v="0"/>
    <x v="4"/>
    <x v="3"/>
    <x v="14"/>
    <x v="5"/>
    <x v="3"/>
    <x v="2"/>
  </r>
  <r>
    <x v="434"/>
    <x v="87"/>
    <x v="425"/>
    <x v="1"/>
    <x v="5"/>
    <x v="1"/>
    <x v="4"/>
    <x v="5"/>
    <x v="20"/>
    <x v="0"/>
    <x v="0"/>
    <x v="2"/>
  </r>
  <r>
    <x v="435"/>
    <x v="261"/>
    <x v="426"/>
    <x v="1"/>
    <x v="4"/>
    <x v="1"/>
    <x v="1"/>
    <x v="4"/>
    <x v="5"/>
    <x v="3"/>
    <x v="4"/>
    <x v="0"/>
  </r>
  <r>
    <x v="436"/>
    <x v="201"/>
    <x v="427"/>
    <x v="7"/>
    <x v="2"/>
    <x v="2"/>
    <x v="3"/>
    <x v="2"/>
    <x v="18"/>
    <x v="4"/>
    <x v="2"/>
    <x v="0"/>
  </r>
  <r>
    <x v="437"/>
    <x v="262"/>
    <x v="428"/>
    <x v="5"/>
    <x v="2"/>
    <x v="2"/>
    <x v="5"/>
    <x v="2"/>
    <x v="13"/>
    <x v="2"/>
    <x v="3"/>
    <x v="0"/>
  </r>
  <r>
    <x v="438"/>
    <x v="41"/>
    <x v="429"/>
    <x v="2"/>
    <x v="3"/>
    <x v="0"/>
    <x v="3"/>
    <x v="3"/>
    <x v="3"/>
    <x v="5"/>
    <x v="3"/>
    <x v="0"/>
  </r>
  <r>
    <x v="439"/>
    <x v="201"/>
    <x v="430"/>
    <x v="3"/>
    <x v="5"/>
    <x v="1"/>
    <x v="1"/>
    <x v="5"/>
    <x v="9"/>
    <x v="3"/>
    <x v="3"/>
    <x v="0"/>
  </r>
  <r>
    <x v="440"/>
    <x v="221"/>
    <x v="431"/>
    <x v="9"/>
    <x v="0"/>
    <x v="0"/>
    <x v="5"/>
    <x v="0"/>
    <x v="14"/>
    <x v="4"/>
    <x v="4"/>
    <x v="1"/>
  </r>
  <r>
    <x v="441"/>
    <x v="77"/>
    <x v="432"/>
    <x v="4"/>
    <x v="0"/>
    <x v="0"/>
    <x v="3"/>
    <x v="0"/>
    <x v="7"/>
    <x v="0"/>
    <x v="2"/>
    <x v="2"/>
  </r>
  <r>
    <x v="442"/>
    <x v="263"/>
    <x v="433"/>
    <x v="11"/>
    <x v="5"/>
    <x v="1"/>
    <x v="3"/>
    <x v="5"/>
    <x v="16"/>
    <x v="4"/>
    <x v="1"/>
    <x v="1"/>
  </r>
  <r>
    <x v="443"/>
    <x v="158"/>
    <x v="434"/>
    <x v="11"/>
    <x v="2"/>
    <x v="2"/>
    <x v="3"/>
    <x v="2"/>
    <x v="18"/>
    <x v="3"/>
    <x v="0"/>
    <x v="2"/>
  </r>
  <r>
    <x v="444"/>
    <x v="264"/>
    <x v="435"/>
    <x v="11"/>
    <x v="1"/>
    <x v="1"/>
    <x v="1"/>
    <x v="1"/>
    <x v="0"/>
    <x v="2"/>
    <x v="0"/>
    <x v="2"/>
  </r>
  <r>
    <x v="445"/>
    <x v="215"/>
    <x v="436"/>
    <x v="0"/>
    <x v="2"/>
    <x v="2"/>
    <x v="2"/>
    <x v="2"/>
    <x v="11"/>
    <x v="0"/>
    <x v="4"/>
    <x v="2"/>
  </r>
  <r>
    <x v="446"/>
    <x v="189"/>
    <x v="437"/>
    <x v="8"/>
    <x v="1"/>
    <x v="1"/>
    <x v="2"/>
    <x v="1"/>
    <x v="2"/>
    <x v="0"/>
    <x v="0"/>
    <x v="0"/>
  </r>
  <r>
    <x v="447"/>
    <x v="265"/>
    <x v="438"/>
    <x v="10"/>
    <x v="0"/>
    <x v="0"/>
    <x v="1"/>
    <x v="0"/>
    <x v="3"/>
    <x v="2"/>
    <x v="1"/>
    <x v="2"/>
  </r>
  <r>
    <x v="448"/>
    <x v="38"/>
    <x v="439"/>
    <x v="6"/>
    <x v="3"/>
    <x v="0"/>
    <x v="5"/>
    <x v="3"/>
    <x v="1"/>
    <x v="5"/>
    <x v="2"/>
    <x v="1"/>
  </r>
  <r>
    <x v="449"/>
    <x v="146"/>
    <x v="440"/>
    <x v="7"/>
    <x v="2"/>
    <x v="2"/>
    <x v="2"/>
    <x v="2"/>
    <x v="11"/>
    <x v="5"/>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586520-4CEF-4A9E-9124-D87E5B7151E6}"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12">
    <pivotField showAll="0">
      <items count="4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showAll="0"/>
    <pivotField showAll="0"/>
    <pivotField axis="axisRow" showAll="0" measureFilter="1">
      <items count="13">
        <item x="3"/>
        <item x="10"/>
        <item x="4"/>
        <item x="5"/>
        <item x="7"/>
        <item x="2"/>
        <item x="1"/>
        <item x="6"/>
        <item x="11"/>
        <item x="9"/>
        <item x="8"/>
        <item x="0"/>
        <item t="default"/>
      </items>
    </pivotField>
    <pivotField showAll="0">
      <items count="7">
        <item x="0"/>
        <item x="2"/>
        <item x="1"/>
        <item x="4"/>
        <item x="3"/>
        <item x="5"/>
        <item t="default"/>
      </items>
    </pivotField>
    <pivotField showAll="0">
      <items count="4">
        <item x="2"/>
        <item x="1"/>
        <item x="0"/>
        <item t="default"/>
      </items>
    </pivotField>
    <pivotField showAll="0"/>
    <pivotField dataField="1" showAll="0"/>
    <pivotField showAll="0"/>
    <pivotField showAll="0">
      <items count="7">
        <item x="4"/>
        <item x="2"/>
        <item x="5"/>
        <item x="1"/>
        <item x="0"/>
        <item x="3"/>
        <item t="default"/>
      </items>
    </pivotField>
    <pivotField showAll="0"/>
    <pivotField showAll="0"/>
  </pivotFields>
  <rowFields count="1">
    <field x="3"/>
  </rowFields>
  <rowItems count="6">
    <i>
      <x/>
    </i>
    <i>
      <x v="3"/>
    </i>
    <i>
      <x v="6"/>
    </i>
    <i>
      <x v="7"/>
    </i>
    <i>
      <x v="11"/>
    </i>
    <i t="grand">
      <x/>
    </i>
  </rowItems>
  <colItems count="1">
    <i/>
  </colItems>
  <dataFields count="1">
    <dataField name="Sum of Unit_Price" fld="7" baseField="0" baseItem="0"/>
  </dataFields>
  <chartFormats count="2">
    <chartFormat chart="11"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A8AA2-DEF6-4C2D-976A-C6ADA0E3D2DB}"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2">
    <pivotField showAll="0"/>
    <pivotField showAll="0"/>
    <pivotField showAll="0">
      <items count="442">
        <item x="123"/>
        <item x="141"/>
        <item x="111"/>
        <item x="294"/>
        <item x="243"/>
        <item x="88"/>
        <item x="289"/>
        <item x="202"/>
        <item x="338"/>
        <item x="209"/>
        <item x="58"/>
        <item x="34"/>
        <item x="130"/>
        <item x="193"/>
        <item x="220"/>
        <item x="115"/>
        <item x="199"/>
        <item x="437"/>
        <item x="86"/>
        <item x="343"/>
        <item x="78"/>
        <item x="71"/>
        <item x="43"/>
        <item x="242"/>
        <item x="425"/>
        <item x="172"/>
        <item x="206"/>
        <item x="105"/>
        <item x="324"/>
        <item x="37"/>
        <item x="282"/>
        <item x="133"/>
        <item x="79"/>
        <item x="65"/>
        <item x="327"/>
        <item x="70"/>
        <item x="417"/>
        <item x="29"/>
        <item x="355"/>
        <item x="384"/>
        <item x="401"/>
        <item x="196"/>
        <item x="317"/>
        <item x="10"/>
        <item x="351"/>
        <item x="48"/>
        <item x="204"/>
        <item x="55"/>
        <item x="135"/>
        <item x="169"/>
        <item x="168"/>
        <item x="52"/>
        <item x="110"/>
        <item x="188"/>
        <item x="120"/>
        <item x="295"/>
        <item x="159"/>
        <item x="189"/>
        <item x="178"/>
        <item x="422"/>
        <item x="314"/>
        <item x="353"/>
        <item x="113"/>
        <item x="349"/>
        <item x="375"/>
        <item x="170"/>
        <item x="316"/>
        <item x="332"/>
        <item x="7"/>
        <item x="255"/>
        <item x="222"/>
        <item x="174"/>
        <item x="213"/>
        <item x="251"/>
        <item x="51"/>
        <item x="94"/>
        <item x="40"/>
        <item x="36"/>
        <item x="165"/>
        <item x="285"/>
        <item x="427"/>
        <item x="419"/>
        <item x="173"/>
        <item x="17"/>
        <item x="386"/>
        <item x="340"/>
        <item x="30"/>
        <item x="161"/>
        <item x="207"/>
        <item x="307"/>
        <item x="398"/>
        <item x="354"/>
        <item x="366"/>
        <item x="194"/>
        <item x="376"/>
        <item x="203"/>
        <item x="272"/>
        <item x="337"/>
        <item x="145"/>
        <item x="2"/>
        <item x="378"/>
        <item x="280"/>
        <item x="53"/>
        <item x="102"/>
        <item x="31"/>
        <item x="394"/>
        <item x="89"/>
        <item x="183"/>
        <item x="261"/>
        <item x="38"/>
        <item x="395"/>
        <item x="67"/>
        <item x="107"/>
        <item x="323"/>
        <item x="0"/>
        <item x="21"/>
        <item x="211"/>
        <item x="9"/>
        <item x="27"/>
        <item x="357"/>
        <item x="68"/>
        <item x="5"/>
        <item x="186"/>
        <item x="233"/>
        <item x="72"/>
        <item x="201"/>
        <item x="356"/>
        <item x="180"/>
        <item x="268"/>
        <item x="231"/>
        <item x="350"/>
        <item x="126"/>
        <item x="415"/>
        <item x="413"/>
        <item x="154"/>
        <item x="197"/>
        <item x="254"/>
        <item x="128"/>
        <item x="164"/>
        <item x="149"/>
        <item x="91"/>
        <item x="62"/>
        <item x="75"/>
        <item x="381"/>
        <item x="273"/>
        <item x="436"/>
        <item x="312"/>
        <item x="144"/>
        <item x="11"/>
        <item x="240"/>
        <item x="345"/>
        <item x="56"/>
        <item x="341"/>
        <item x="281"/>
        <item x="24"/>
        <item x="253"/>
        <item x="339"/>
        <item x="210"/>
        <item x="313"/>
        <item x="440"/>
        <item x="292"/>
        <item x="277"/>
        <item x="19"/>
        <item x="297"/>
        <item x="3"/>
        <item x="434"/>
        <item x="267"/>
        <item x="181"/>
        <item x="264"/>
        <item x="98"/>
        <item x="66"/>
        <item x="25"/>
        <item x="435"/>
        <item x="137"/>
        <item x="433"/>
        <item x="44"/>
        <item x="363"/>
        <item x="162"/>
        <item x="95"/>
        <item x="190"/>
        <item x="266"/>
        <item x="33"/>
        <item x="439"/>
        <item x="83"/>
        <item x="269"/>
        <item x="309"/>
        <item x="74"/>
        <item x="215"/>
        <item x="100"/>
        <item x="63"/>
        <item x="238"/>
        <item x="410"/>
        <item x="118"/>
        <item x="310"/>
        <item x="245"/>
        <item x="108"/>
        <item x="406"/>
        <item x="151"/>
        <item x="35"/>
        <item x="258"/>
        <item x="298"/>
        <item x="286"/>
        <item x="438"/>
        <item x="409"/>
        <item x="92"/>
        <item x="342"/>
        <item x="296"/>
        <item x="46"/>
        <item x="112"/>
        <item x="96"/>
        <item x="76"/>
        <item x="303"/>
        <item x="129"/>
        <item x="300"/>
        <item x="299"/>
        <item x="175"/>
        <item x="336"/>
        <item x="368"/>
        <item x="388"/>
        <item x="318"/>
        <item x="80"/>
        <item x="416"/>
        <item x="12"/>
        <item x="109"/>
        <item x="226"/>
        <item x="49"/>
        <item x="235"/>
        <item x="59"/>
        <item x="293"/>
        <item x="116"/>
        <item x="315"/>
        <item x="389"/>
        <item x="60"/>
        <item x="244"/>
        <item x="347"/>
        <item x="99"/>
        <item x="1"/>
        <item x="176"/>
        <item x="224"/>
        <item x="382"/>
        <item x="122"/>
        <item x="163"/>
        <item x="250"/>
        <item x="411"/>
        <item x="64"/>
        <item x="367"/>
        <item x="321"/>
        <item x="4"/>
        <item x="184"/>
        <item x="334"/>
        <item x="84"/>
        <item x="177"/>
        <item x="20"/>
        <item x="374"/>
        <item x="230"/>
        <item x="139"/>
        <item x="15"/>
        <item x="246"/>
        <item x="195"/>
        <item x="322"/>
        <item x="212"/>
        <item x="153"/>
        <item x="136"/>
        <item x="325"/>
        <item x="256"/>
        <item x="155"/>
        <item x="140"/>
        <item x="239"/>
        <item x="402"/>
        <item x="414"/>
        <item x="358"/>
        <item x="370"/>
        <item x="216"/>
        <item x="262"/>
        <item x="257"/>
        <item x="407"/>
        <item x="73"/>
        <item x="403"/>
        <item x="228"/>
        <item x="377"/>
        <item x="142"/>
        <item x="383"/>
        <item x="54"/>
        <item x="143"/>
        <item x="77"/>
        <item x="127"/>
        <item x="346"/>
        <item x="225"/>
        <item x="171"/>
        <item x="32"/>
        <item x="131"/>
        <item x="205"/>
        <item x="106"/>
        <item x="208"/>
        <item x="412"/>
        <item x="390"/>
        <item x="124"/>
        <item x="420"/>
        <item x="179"/>
        <item x="166"/>
        <item x="271"/>
        <item x="152"/>
        <item x="283"/>
        <item x="191"/>
        <item x="138"/>
        <item x="305"/>
        <item x="379"/>
        <item x="418"/>
        <item x="391"/>
        <item x="221"/>
        <item x="82"/>
        <item x="16"/>
        <item x="344"/>
        <item x="121"/>
        <item x="311"/>
        <item x="392"/>
        <item x="41"/>
        <item x="114"/>
        <item x="279"/>
        <item x="320"/>
        <item x="288"/>
        <item x="23"/>
        <item x="399"/>
        <item x="134"/>
        <item x="326"/>
        <item x="291"/>
        <item x="308"/>
        <item x="241"/>
        <item x="229"/>
        <item x="148"/>
        <item x="430"/>
        <item x="234"/>
        <item x="287"/>
        <item x="380"/>
        <item x="50"/>
        <item x="263"/>
        <item x="249"/>
        <item x="396"/>
        <item x="361"/>
        <item x="319"/>
        <item x="304"/>
        <item x="260"/>
        <item x="69"/>
        <item x="57"/>
        <item x="219"/>
        <item x="18"/>
        <item x="364"/>
        <item x="421"/>
        <item x="432"/>
        <item x="47"/>
        <item x="405"/>
        <item x="423"/>
        <item x="385"/>
        <item x="237"/>
        <item x="429"/>
        <item x="352"/>
        <item x="393"/>
        <item x="14"/>
        <item x="85"/>
        <item x="223"/>
        <item x="371"/>
        <item x="372"/>
        <item x="348"/>
        <item x="104"/>
        <item x="252"/>
        <item x="158"/>
        <item x="150"/>
        <item x="360"/>
        <item x="187"/>
        <item x="182"/>
        <item x="400"/>
        <item x="97"/>
        <item x="284"/>
        <item x="117"/>
        <item x="45"/>
        <item x="275"/>
        <item x="200"/>
        <item x="426"/>
        <item x="227"/>
        <item x="217"/>
        <item x="428"/>
        <item x="26"/>
        <item x="6"/>
        <item x="373"/>
        <item x="185"/>
        <item x="387"/>
        <item x="42"/>
        <item x="328"/>
        <item x="132"/>
        <item x="103"/>
        <item x="28"/>
        <item x="167"/>
        <item x="306"/>
        <item x="290"/>
        <item x="270"/>
        <item x="302"/>
        <item x="330"/>
        <item x="146"/>
        <item x="192"/>
        <item x="13"/>
        <item x="335"/>
        <item x="301"/>
        <item x="61"/>
        <item x="397"/>
        <item x="274"/>
        <item x="87"/>
        <item x="160"/>
        <item x="236"/>
        <item x="93"/>
        <item x="232"/>
        <item x="278"/>
        <item x="404"/>
        <item x="329"/>
        <item x="265"/>
        <item x="362"/>
        <item x="119"/>
        <item x="218"/>
        <item x="156"/>
        <item x="369"/>
        <item x="8"/>
        <item x="39"/>
        <item x="157"/>
        <item x="214"/>
        <item x="424"/>
        <item x="147"/>
        <item x="101"/>
        <item x="81"/>
        <item x="333"/>
        <item x="365"/>
        <item x="248"/>
        <item x="359"/>
        <item x="247"/>
        <item x="259"/>
        <item x="90"/>
        <item x="198"/>
        <item x="408"/>
        <item x="276"/>
        <item x="125"/>
        <item x="431"/>
        <item x="331"/>
        <item x="22"/>
        <item t="default"/>
      </items>
    </pivotField>
    <pivotField showAll="0"/>
    <pivotField dataField="1" showAll="0">
      <items count="7">
        <item x="0"/>
        <item x="2"/>
        <item x="1"/>
        <item x="4"/>
        <item x="3"/>
        <item x="5"/>
        <item t="default"/>
      </items>
    </pivotField>
    <pivotField showAll="0">
      <items count="4">
        <item x="2"/>
        <item x="1"/>
        <item x="0"/>
        <item t="default"/>
      </items>
    </pivotField>
    <pivotField showAll="0"/>
    <pivotField showAll="0"/>
    <pivotField showAll="0">
      <items count="30">
        <item x="11"/>
        <item x="10"/>
        <item x="28"/>
        <item x="13"/>
        <item x="6"/>
        <item x="18"/>
        <item x="17"/>
        <item x="1"/>
        <item x="23"/>
        <item x="19"/>
        <item x="3"/>
        <item x="2"/>
        <item x="9"/>
        <item x="14"/>
        <item x="5"/>
        <item x="7"/>
        <item x="0"/>
        <item x="16"/>
        <item x="22"/>
        <item x="8"/>
        <item x="21"/>
        <item x="15"/>
        <item x="27"/>
        <item x="20"/>
        <item x="24"/>
        <item x="4"/>
        <item x="25"/>
        <item x="12"/>
        <item x="26"/>
        <item t="default"/>
      </items>
    </pivotField>
    <pivotField axis="axisRow" showAll="0">
      <items count="7">
        <item x="4"/>
        <item x="2"/>
        <item x="5"/>
        <item x="1"/>
        <item x="0"/>
        <item x="3"/>
        <item t="default"/>
      </items>
    </pivotField>
    <pivotField showAll="0"/>
    <pivotField showAll="0"/>
  </pivotFields>
  <rowFields count="1">
    <field x="9"/>
  </rowFields>
  <rowItems count="7">
    <i>
      <x/>
    </i>
    <i>
      <x v="1"/>
    </i>
    <i>
      <x v="2"/>
    </i>
    <i>
      <x v="3"/>
    </i>
    <i>
      <x v="4"/>
    </i>
    <i>
      <x v="5"/>
    </i>
    <i t="grand">
      <x/>
    </i>
  </rowItems>
  <colItems count="1">
    <i/>
  </colItems>
  <dataFields count="1">
    <dataField name="Count of Product" fld="4"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9" count="1" selected="0">
            <x v="0"/>
          </reference>
        </references>
      </pivotArea>
    </chartFormat>
    <chartFormat chart="15" format="16">
      <pivotArea type="data" outline="0" fieldPosition="0">
        <references count="2">
          <reference field="4294967294" count="1" selected="0">
            <x v="0"/>
          </reference>
          <reference field="9" count="1" selected="0">
            <x v="1"/>
          </reference>
        </references>
      </pivotArea>
    </chartFormat>
    <chartFormat chart="15" format="17">
      <pivotArea type="data" outline="0" fieldPosition="0">
        <references count="2">
          <reference field="4294967294" count="1" selected="0">
            <x v="0"/>
          </reference>
          <reference field="9" count="1" selected="0">
            <x v="2"/>
          </reference>
        </references>
      </pivotArea>
    </chartFormat>
    <chartFormat chart="15" format="18">
      <pivotArea type="data" outline="0" fieldPosition="0">
        <references count="2">
          <reference field="4294967294" count="1" selected="0">
            <x v="0"/>
          </reference>
          <reference field="9" count="1" selected="0">
            <x v="3"/>
          </reference>
        </references>
      </pivotArea>
    </chartFormat>
    <chartFormat chart="15" format="19">
      <pivotArea type="data" outline="0" fieldPosition="0">
        <references count="2">
          <reference field="4294967294" count="1" selected="0">
            <x v="0"/>
          </reference>
          <reference field="9" count="1" selected="0">
            <x v="4"/>
          </reference>
        </references>
      </pivotArea>
    </chartFormat>
    <chartFormat chart="15"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EDC68-60CF-418E-A646-F7FD70405E90}"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2">
    <pivotField showAll="0"/>
    <pivotField showAll="0"/>
    <pivotField showAll="0"/>
    <pivotField showAll="0"/>
    <pivotField axis="axisRow" showAll="0">
      <items count="7">
        <item x="0"/>
        <item x="2"/>
        <item x="1"/>
        <item x="4"/>
        <item x="3"/>
        <item x="5"/>
        <item t="default"/>
      </items>
    </pivotField>
    <pivotField showAll="0">
      <items count="4">
        <item x="2"/>
        <item x="1"/>
        <item x="0"/>
        <item t="default"/>
      </items>
    </pivotField>
    <pivotField showAll="0"/>
    <pivotField showAll="0"/>
    <pivotField dataField="1" showAll="0"/>
    <pivotField showAll="0">
      <items count="7">
        <item x="4"/>
        <item x="2"/>
        <item x="5"/>
        <item x="1"/>
        <item x="0"/>
        <item x="3"/>
        <item t="default"/>
      </items>
    </pivotField>
    <pivotField showAll="0"/>
    <pivotField showAll="0"/>
  </pivotFields>
  <rowFields count="1">
    <field x="4"/>
  </rowFields>
  <rowItems count="7">
    <i>
      <x/>
    </i>
    <i>
      <x v="1"/>
    </i>
    <i>
      <x v="2"/>
    </i>
    <i>
      <x v="3"/>
    </i>
    <i>
      <x v="4"/>
    </i>
    <i>
      <x v="5"/>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DE8373-6AD6-4943-B005-864077F60CBC}"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2">
    <pivotField showAll="0"/>
    <pivotField showAll="0">
      <items count="267">
        <item x="50"/>
        <item x="224"/>
        <item x="1"/>
        <item x="56"/>
        <item x="75"/>
        <item x="255"/>
        <item x="72"/>
        <item x="245"/>
        <item x="235"/>
        <item x="150"/>
        <item x="86"/>
        <item x="63"/>
        <item x="60"/>
        <item x="166"/>
        <item x="98"/>
        <item x="92"/>
        <item x="28"/>
        <item x="20"/>
        <item x="96"/>
        <item x="214"/>
        <item x="68"/>
        <item x="11"/>
        <item x="221"/>
        <item x="61"/>
        <item x="85"/>
        <item x="0"/>
        <item x="24"/>
        <item x="89"/>
        <item x="236"/>
        <item x="132"/>
        <item x="149"/>
        <item x="69"/>
        <item x="111"/>
        <item x="237"/>
        <item x="211"/>
        <item x="146"/>
        <item x="180"/>
        <item x="243"/>
        <item x="219"/>
        <item x="144"/>
        <item x="265"/>
        <item x="40"/>
        <item x="203"/>
        <item x="66"/>
        <item x="74"/>
        <item x="216"/>
        <item x="220"/>
        <item x="6"/>
        <item x="36"/>
        <item x="244"/>
        <item x="79"/>
        <item x="260"/>
        <item x="128"/>
        <item x="91"/>
        <item x="229"/>
        <item x="191"/>
        <item x="238"/>
        <item x="178"/>
        <item x="70"/>
        <item x="153"/>
        <item x="176"/>
        <item x="29"/>
        <item x="3"/>
        <item x="138"/>
        <item x="248"/>
        <item x="126"/>
        <item x="18"/>
        <item x="124"/>
        <item x="207"/>
        <item x="37"/>
        <item x="100"/>
        <item x="187"/>
        <item x="39"/>
        <item x="232"/>
        <item x="135"/>
        <item x="249"/>
        <item x="145"/>
        <item x="108"/>
        <item x="65"/>
        <item x="4"/>
        <item x="118"/>
        <item x="101"/>
        <item x="175"/>
        <item x="93"/>
        <item x="197"/>
        <item x="168"/>
        <item x="167"/>
        <item x="43"/>
        <item x="172"/>
        <item x="241"/>
        <item x="159"/>
        <item x="103"/>
        <item x="200"/>
        <item x="54"/>
        <item x="213"/>
        <item x="212"/>
        <item x="34"/>
        <item x="148"/>
        <item x="165"/>
        <item x="164"/>
        <item x="42"/>
        <item x="142"/>
        <item x="147"/>
        <item x="263"/>
        <item x="94"/>
        <item x="223"/>
        <item x="112"/>
        <item x="46"/>
        <item x="106"/>
        <item x="107"/>
        <item x="117"/>
        <item x="227"/>
        <item x="120"/>
        <item x="257"/>
        <item x="190"/>
        <item x="262"/>
        <item x="105"/>
        <item x="17"/>
        <item x="193"/>
        <item x="16"/>
        <item x="26"/>
        <item x="25"/>
        <item x="169"/>
        <item x="185"/>
        <item x="104"/>
        <item x="76"/>
        <item x="52"/>
        <item x="125"/>
        <item x="137"/>
        <item x="225"/>
        <item x="5"/>
        <item x="157"/>
        <item x="59"/>
        <item x="181"/>
        <item x="27"/>
        <item x="55"/>
        <item x="163"/>
        <item x="204"/>
        <item x="38"/>
        <item x="202"/>
        <item x="21"/>
        <item x="230"/>
        <item x="199"/>
        <item x="44"/>
        <item x="242"/>
        <item x="71"/>
        <item x="152"/>
        <item x="58"/>
        <item x="210"/>
        <item x="82"/>
        <item x="134"/>
        <item x="206"/>
        <item x="231"/>
        <item x="151"/>
        <item x="217"/>
        <item x="226"/>
        <item x="14"/>
        <item x="22"/>
        <item x="254"/>
        <item x="189"/>
        <item x="32"/>
        <item x="78"/>
        <item x="215"/>
        <item x="250"/>
        <item x="64"/>
        <item x="177"/>
        <item x="256"/>
        <item x="188"/>
        <item x="73"/>
        <item x="252"/>
        <item x="35"/>
        <item x="67"/>
        <item x="182"/>
        <item x="162"/>
        <item x="259"/>
        <item x="87"/>
        <item x="30"/>
        <item x="49"/>
        <item x="198"/>
        <item x="53"/>
        <item x="95"/>
        <item x="97"/>
        <item x="123"/>
        <item x="173"/>
        <item x="179"/>
        <item x="192"/>
        <item x="90"/>
        <item x="261"/>
        <item x="109"/>
        <item x="158"/>
        <item x="41"/>
        <item x="160"/>
        <item x="140"/>
        <item x="154"/>
        <item x="247"/>
        <item x="222"/>
        <item x="183"/>
        <item x="45"/>
        <item x="234"/>
        <item x="251"/>
        <item x="48"/>
        <item x="139"/>
        <item x="161"/>
        <item x="13"/>
        <item x="102"/>
        <item x="174"/>
        <item x="156"/>
        <item x="62"/>
        <item x="12"/>
        <item x="141"/>
        <item x="115"/>
        <item x="10"/>
        <item x="51"/>
        <item x="19"/>
        <item x="2"/>
        <item x="15"/>
        <item x="110"/>
        <item x="233"/>
        <item x="99"/>
        <item x="7"/>
        <item x="80"/>
        <item x="9"/>
        <item x="194"/>
        <item x="264"/>
        <item x="84"/>
        <item x="113"/>
        <item x="155"/>
        <item x="143"/>
        <item x="239"/>
        <item x="88"/>
        <item x="23"/>
        <item x="129"/>
        <item x="81"/>
        <item x="33"/>
        <item x="136"/>
        <item x="31"/>
        <item x="47"/>
        <item x="122"/>
        <item x="246"/>
        <item x="208"/>
        <item x="57"/>
        <item x="186"/>
        <item x="114"/>
        <item x="130"/>
        <item x="201"/>
        <item x="116"/>
        <item x="170"/>
        <item x="119"/>
        <item x="228"/>
        <item x="253"/>
        <item x="121"/>
        <item x="184"/>
        <item x="196"/>
        <item x="205"/>
        <item x="171"/>
        <item x="8"/>
        <item x="131"/>
        <item x="83"/>
        <item x="77"/>
        <item x="240"/>
        <item x="127"/>
        <item x="258"/>
        <item x="133"/>
        <item x="218"/>
        <item x="209"/>
        <item x="195"/>
        <item t="default"/>
      </items>
    </pivotField>
    <pivotField showAll="0"/>
    <pivotField showAll="0"/>
    <pivotField showAll="0">
      <items count="7">
        <item x="0"/>
        <item x="2"/>
        <item x="1"/>
        <item x="4"/>
        <item x="3"/>
        <item x="5"/>
        <item t="default"/>
      </items>
    </pivotField>
    <pivotField axis="axisRow" showAll="0">
      <items count="4">
        <item x="2"/>
        <item x="1"/>
        <item x="0"/>
        <item t="default"/>
      </items>
    </pivotField>
    <pivotField dataField="1" showAll="0">
      <items count="7">
        <item x="2"/>
        <item x="1"/>
        <item x="5"/>
        <item x="3"/>
        <item x="0"/>
        <item x="4"/>
        <item t="default"/>
      </items>
    </pivotField>
    <pivotField showAll="0"/>
    <pivotField showAll="0">
      <items count="30">
        <item x="11"/>
        <item x="10"/>
        <item x="28"/>
        <item x="13"/>
        <item x="6"/>
        <item x="18"/>
        <item x="17"/>
        <item x="1"/>
        <item x="23"/>
        <item x="19"/>
        <item x="3"/>
        <item x="2"/>
        <item x="9"/>
        <item x="14"/>
        <item x="5"/>
        <item x="7"/>
        <item x="0"/>
        <item x="16"/>
        <item x="22"/>
        <item x="8"/>
        <item x="21"/>
        <item x="15"/>
        <item x="27"/>
        <item x="20"/>
        <item x="24"/>
        <item x="4"/>
        <item x="25"/>
        <item x="12"/>
        <item x="26"/>
        <item t="default"/>
      </items>
    </pivotField>
    <pivotField showAll="0">
      <items count="7">
        <item x="4"/>
        <item x="2"/>
        <item x="5"/>
        <item x="1"/>
        <item x="0"/>
        <item x="3"/>
        <item t="default"/>
      </items>
    </pivotField>
    <pivotField showAll="0"/>
    <pivotField showAll="0"/>
  </pivotFields>
  <rowFields count="1">
    <field x="5"/>
  </rowFields>
  <rowItems count="4">
    <i>
      <x/>
    </i>
    <i>
      <x v="1"/>
    </i>
    <i>
      <x v="2"/>
    </i>
    <i t="grand">
      <x/>
    </i>
  </rowItems>
  <colItems count="1">
    <i/>
  </colItems>
  <dataFields count="1">
    <dataField name="Sum of Quantity" fld="6" baseField="0" baseItem="0"/>
  </dataFields>
  <chartFormats count="8">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5" count="1" selected="0">
            <x v="0"/>
          </reference>
        </references>
      </pivotArea>
    </chartFormat>
    <chartFormat chart="14" format="2">
      <pivotArea type="data" outline="0" fieldPosition="0">
        <references count="2">
          <reference field="4294967294" count="1" selected="0">
            <x v="0"/>
          </reference>
          <reference field="5" count="1" selected="0">
            <x v="1"/>
          </reference>
        </references>
      </pivotArea>
    </chartFormat>
    <chartFormat chart="14" format="3">
      <pivotArea type="data" outline="0" fieldPosition="0">
        <references count="2">
          <reference field="4294967294" count="1" selected="0">
            <x v="0"/>
          </reference>
          <reference field="5"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5" count="1" selected="0">
            <x v="0"/>
          </reference>
        </references>
      </pivotArea>
    </chartFormat>
    <chartFormat chart="23" format="10">
      <pivotArea type="data" outline="0" fieldPosition="0">
        <references count="2">
          <reference field="4294967294" count="1" selected="0">
            <x v="0"/>
          </reference>
          <reference field="5" count="1" selected="0">
            <x v="1"/>
          </reference>
        </references>
      </pivotArea>
    </chartFormat>
    <chartFormat chart="2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3EDF0-FDF6-4681-8E79-0315242BDD6A}"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2">
    <pivotField showAll="0"/>
    <pivotField showAll="0"/>
    <pivotField showAll="0"/>
    <pivotField showAll="0"/>
    <pivotField dataField="1" showAll="0">
      <items count="7">
        <item x="0"/>
        <item x="2"/>
        <item x="1"/>
        <item x="4"/>
        <item x="3"/>
        <item x="5"/>
        <item t="default"/>
      </items>
    </pivotField>
    <pivotField showAll="0">
      <items count="4">
        <item x="2"/>
        <item x="1"/>
        <item x="0"/>
        <item t="default"/>
      </items>
    </pivotField>
    <pivotField showAll="0"/>
    <pivotField showAll="0"/>
    <pivotField showAll="0"/>
    <pivotField showAll="0">
      <items count="7">
        <item x="4"/>
        <item x="2"/>
        <item x="5"/>
        <item x="1"/>
        <item x="0"/>
        <item x="3"/>
        <item t="default"/>
      </items>
    </pivotField>
    <pivotField axis="axisRow" showAll="0">
      <items count="6">
        <item x="0"/>
        <item x="4"/>
        <item x="3"/>
        <item x="1"/>
        <item x="2"/>
        <item t="default"/>
      </items>
    </pivotField>
    <pivotField showAll="0"/>
  </pivotFields>
  <rowFields count="1">
    <field x="10"/>
  </rowFields>
  <rowItems count="6">
    <i>
      <x/>
    </i>
    <i>
      <x v="1"/>
    </i>
    <i>
      <x v="2"/>
    </i>
    <i>
      <x v="3"/>
    </i>
    <i>
      <x v="4"/>
    </i>
    <i t="grand">
      <x/>
    </i>
  </rowItems>
  <colItems count="1">
    <i/>
  </colItems>
  <dataFields count="1">
    <dataField name="Count of Product" fld="4"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4D1BA2A-3E55-4C29-8878-328936BBEE09}" sourceName="Product">
  <pivotTables>
    <pivotTable tabId="9" name="PivotTable6"/>
    <pivotTable tabId="4" name="PivotTable2"/>
    <pivotTable tabId="5" name="PivotTable3"/>
    <pivotTable tabId="6" name="PivotTable4"/>
    <pivotTable tabId="7" name="PivotTable5"/>
  </pivotTables>
  <data>
    <tabular pivotCacheId="1121515931">
      <items count="6">
        <i x="0" s="1"/>
        <i x="2" s="1"/>
        <i x="1"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561098-1F14-4872-96F9-08F5006CB7B8}" sourceName="Category">
  <pivotTables>
    <pivotTable tabId="4" name="PivotTable2"/>
    <pivotTable tabId="5" name="PivotTable3"/>
    <pivotTable tabId="6" name="PivotTable4"/>
    <pivotTable tabId="7" name="PivotTable5"/>
    <pivotTable tabId="9" name="PivotTable6"/>
  </pivotTables>
  <data>
    <tabular pivotCacheId="11215159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75BFB43-2B72-410A-B232-A53AE16D1587}" sourceName="City">
  <pivotTables>
    <pivotTable tabId="5" name="PivotTable3"/>
    <pivotTable tabId="4" name="PivotTable2"/>
    <pivotTable tabId="6" name="PivotTable4"/>
    <pivotTable tabId="7" name="PivotTable5"/>
    <pivotTable tabId="9" name="PivotTable6"/>
  </pivotTables>
  <data>
    <tabular pivotCacheId="1121515931">
      <items count="6">
        <i x="4" s="1"/>
        <i x="2" s="1"/>
        <i x="5"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E226FE-E495-4FA3-8BBA-5B7E79FA4BB6}" cache="Slicer_Category" caption="Categor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CCAFF6D-08BF-407D-9617-FFF6303A8A29}" cache="Slicer_City" caption="City"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F3A795A-82F5-4B2A-A18E-601E1CF9DA12}" cache="Slicer_Product" caption="Product" style="SlicerStyleOther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882158C-5193-4E15-BC8E-D492653003A2}" cache="Slicer_Product" caption="Product" style="SlicerStyleDark1" rowHeight="234950"/>
  <slicer name="Category 1" xr10:uid="{02CE30B7-00F5-4EE4-9822-F57172A17CF4}" cache="Slicer_Category" caption="Category" style="SlicerStyleDark1" rowHeight="234950"/>
  <slicer name="City 1" xr10:uid="{50F12D56-649E-4F63-9C9F-4F5DB92A3B81}" cache="Slicer_City" caption="Cit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462032-15C6-48B6-B2C6-40C2C83A32DD}" name="Table1" displayName="Table1" ref="A1:B16" totalsRowShown="0" headerRowDxfId="0" dataDxfId="1" headerRowBorderDxfId="4" tableBorderDxfId="5">
  <autoFilter ref="A1:B16" xr:uid="{93462032-15C6-48B6-B2C6-40C2C83A32DD}"/>
  <tableColumns count="2">
    <tableColumn id="1" xr3:uid="{F8E6CDCE-9169-4E3F-9A2A-365650E82341}" name="Column1" dataDxfId="3"/>
    <tableColumn id="2" xr3:uid="{2FFCA976-3F60-4826-B439-FB07D87F8010}" name="Column2"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9E8AE-020E-4C8C-975C-6F2BF761D94C}">
  <dimension ref="A1:B16"/>
  <sheetViews>
    <sheetView workbookViewId="0">
      <selection activeCell="E27" sqref="E27"/>
    </sheetView>
  </sheetViews>
  <sheetFormatPr defaultRowHeight="14.4" x14ac:dyDescent="0.3"/>
  <cols>
    <col min="1" max="1" width="16.5546875" bestFit="1" customWidth="1"/>
    <col min="2" max="2" width="12" bestFit="1" customWidth="1"/>
  </cols>
  <sheetData>
    <row r="1" spans="1:2" ht="15" thickBot="1" x14ac:dyDescent="0.35">
      <c r="A1" s="5" t="s">
        <v>1204</v>
      </c>
      <c r="B1" s="5" t="s">
        <v>1218</v>
      </c>
    </row>
    <row r="2" spans="1:2" x14ac:dyDescent="0.3">
      <c r="A2" s="4" t="s">
        <v>1204</v>
      </c>
      <c r="B2" s="4"/>
    </row>
    <row r="3" spans="1:2" x14ac:dyDescent="0.3">
      <c r="A3" s="1"/>
      <c r="B3" s="1"/>
    </row>
    <row r="4" spans="1:2" x14ac:dyDescent="0.3">
      <c r="A4" s="1" t="s">
        <v>1205</v>
      </c>
      <c r="B4" s="1">
        <v>384.48888888888888</v>
      </c>
    </row>
    <row r="5" spans="1:2" x14ac:dyDescent="0.3">
      <c r="A5" s="1" t="s">
        <v>1206</v>
      </c>
      <c r="B5" s="1">
        <v>10.756243318481451</v>
      </c>
    </row>
    <row r="6" spans="1:2" x14ac:dyDescent="0.3">
      <c r="A6" s="1" t="s">
        <v>1207</v>
      </c>
      <c r="B6" s="1">
        <v>400</v>
      </c>
    </row>
    <row r="7" spans="1:2" x14ac:dyDescent="0.3">
      <c r="A7" s="1" t="s">
        <v>1208</v>
      </c>
      <c r="B7" s="1">
        <v>300</v>
      </c>
    </row>
    <row r="8" spans="1:2" x14ac:dyDescent="0.3">
      <c r="A8" s="1" t="s">
        <v>1209</v>
      </c>
      <c r="B8" s="1">
        <v>228.17437771772182</v>
      </c>
    </row>
    <row r="9" spans="1:2" x14ac:dyDescent="0.3">
      <c r="A9" s="1" t="s">
        <v>1210</v>
      </c>
      <c r="B9" s="1">
        <v>52063.546646869596</v>
      </c>
    </row>
    <row r="10" spans="1:2" x14ac:dyDescent="0.3">
      <c r="A10" s="1" t="s">
        <v>1211</v>
      </c>
      <c r="B10" s="1">
        <v>-1.1383811097333707</v>
      </c>
    </row>
    <row r="11" spans="1:2" x14ac:dyDescent="0.3">
      <c r="A11" s="1" t="s">
        <v>1212</v>
      </c>
      <c r="B11" s="1">
        <v>0.32054783352874966</v>
      </c>
    </row>
    <row r="12" spans="1:2" x14ac:dyDescent="0.3">
      <c r="A12" s="1" t="s">
        <v>1213</v>
      </c>
      <c r="B12" s="1">
        <v>660</v>
      </c>
    </row>
    <row r="13" spans="1:2" x14ac:dyDescent="0.3">
      <c r="A13" s="1" t="s">
        <v>1214</v>
      </c>
      <c r="B13" s="1">
        <v>90</v>
      </c>
    </row>
    <row r="14" spans="1:2" x14ac:dyDescent="0.3">
      <c r="A14" s="1" t="s">
        <v>1215</v>
      </c>
      <c r="B14" s="1">
        <v>750</v>
      </c>
    </row>
    <row r="15" spans="1:2" x14ac:dyDescent="0.3">
      <c r="A15" s="1" t="s">
        <v>1216</v>
      </c>
      <c r="B15" s="1">
        <v>173020</v>
      </c>
    </row>
    <row r="16" spans="1:2" x14ac:dyDescent="0.3">
      <c r="A16" s="1" t="s">
        <v>1217</v>
      </c>
      <c r="B16" s="1">
        <v>450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1957-421E-4ECF-ACA8-8C8D0546CDAE}">
  <dimension ref="A1:I18"/>
  <sheetViews>
    <sheetView workbookViewId="0">
      <selection activeCell="A3" sqref="A3"/>
    </sheetView>
  </sheetViews>
  <sheetFormatPr defaultRowHeight="14.4" x14ac:dyDescent="0.3"/>
  <sheetData>
    <row r="1" spans="1:9" x14ac:dyDescent="0.3">
      <c r="A1" t="s">
        <v>1219</v>
      </c>
    </row>
    <row r="2" spans="1:9" ht="15" thickBot="1" x14ac:dyDescent="0.35"/>
    <row r="3" spans="1:9" x14ac:dyDescent="0.3">
      <c r="A3" s="4" t="s">
        <v>1220</v>
      </c>
      <c r="B3" s="4"/>
    </row>
    <row r="4" spans="1:9" x14ac:dyDescent="0.3">
      <c r="A4" s="1" t="s">
        <v>1221</v>
      </c>
      <c r="B4" s="1">
        <v>6.8772162726136205E-2</v>
      </c>
    </row>
    <row r="5" spans="1:9" x14ac:dyDescent="0.3">
      <c r="A5" s="1" t="s">
        <v>1222</v>
      </c>
      <c r="B5" s="1">
        <v>4.7296103660301589E-3</v>
      </c>
    </row>
    <row r="6" spans="1:9" x14ac:dyDescent="0.3">
      <c r="A6" s="1" t="s">
        <v>1223</v>
      </c>
      <c r="B6" s="1">
        <v>2.508024674882905E-3</v>
      </c>
    </row>
    <row r="7" spans="1:9" x14ac:dyDescent="0.3">
      <c r="A7" s="1" t="s">
        <v>1206</v>
      </c>
      <c r="B7" s="1">
        <v>227.8880646001831</v>
      </c>
    </row>
    <row r="8" spans="1:9" ht="15" thickBot="1" x14ac:dyDescent="0.35">
      <c r="A8" s="2" t="s">
        <v>1224</v>
      </c>
      <c r="B8" s="2">
        <v>450</v>
      </c>
    </row>
    <row r="10" spans="1:9" ht="15" thickBot="1" x14ac:dyDescent="0.35">
      <c r="A10" t="s">
        <v>1225</v>
      </c>
    </row>
    <row r="11" spans="1:9" x14ac:dyDescent="0.3">
      <c r="A11" s="3"/>
      <c r="B11" s="3" t="s">
        <v>1230</v>
      </c>
      <c r="C11" s="3" t="s">
        <v>1231</v>
      </c>
      <c r="D11" s="3" t="s">
        <v>1232</v>
      </c>
      <c r="E11" s="3" t="s">
        <v>1233</v>
      </c>
      <c r="F11" s="3" t="s">
        <v>1234</v>
      </c>
    </row>
    <row r="12" spans="1:9" x14ac:dyDescent="0.3">
      <c r="A12" s="1" t="s">
        <v>1226</v>
      </c>
      <c r="B12" s="1">
        <v>1</v>
      </c>
      <c r="C12" s="1">
        <v>110561.89017108455</v>
      </c>
      <c r="D12" s="1">
        <v>110561.89017108455</v>
      </c>
      <c r="E12" s="1">
        <v>2.1289344745408987</v>
      </c>
      <c r="F12" s="1">
        <v>0.14524197072236969</v>
      </c>
    </row>
    <row r="13" spans="1:9" x14ac:dyDescent="0.3">
      <c r="A13" s="1" t="s">
        <v>1227</v>
      </c>
      <c r="B13" s="1">
        <v>448</v>
      </c>
      <c r="C13" s="1">
        <v>23265970.554273315</v>
      </c>
      <c r="D13" s="1">
        <v>51932.96998721722</v>
      </c>
      <c r="E13" s="1"/>
      <c r="F13" s="1"/>
    </row>
    <row r="14" spans="1:9" ht="15" thickBot="1" x14ac:dyDescent="0.35">
      <c r="A14" s="2" t="s">
        <v>1228</v>
      </c>
      <c r="B14" s="2">
        <v>449</v>
      </c>
      <c r="C14" s="2">
        <v>23376532.444444399</v>
      </c>
      <c r="D14" s="2"/>
      <c r="E14" s="2"/>
      <c r="F14" s="2"/>
    </row>
    <row r="15" spans="1:9" ht="15" thickBot="1" x14ac:dyDescent="0.35"/>
    <row r="16" spans="1:9" x14ac:dyDescent="0.3">
      <c r="A16" s="3"/>
      <c r="B16" s="3" t="s">
        <v>1235</v>
      </c>
      <c r="C16" s="3" t="s">
        <v>1206</v>
      </c>
      <c r="D16" s="3" t="s">
        <v>1236</v>
      </c>
      <c r="E16" s="3" t="s">
        <v>1237</v>
      </c>
      <c r="F16" s="3" t="s">
        <v>1238</v>
      </c>
      <c r="G16" s="3" t="s">
        <v>1239</v>
      </c>
      <c r="H16" s="3" t="s">
        <v>1240</v>
      </c>
      <c r="I16" s="3" t="s">
        <v>1241</v>
      </c>
    </row>
    <row r="17" spans="1:9" x14ac:dyDescent="0.3">
      <c r="A17" s="1" t="s">
        <v>1229</v>
      </c>
      <c r="B17" s="1">
        <v>416.43566731087412</v>
      </c>
      <c r="C17" s="1">
        <v>24.388517223344113</v>
      </c>
      <c r="D17" s="1">
        <v>17.075071169651583</v>
      </c>
      <c r="E17" s="1">
        <v>1.0308559821724962E-50</v>
      </c>
      <c r="F17" s="1">
        <v>368.50556499314422</v>
      </c>
      <c r="G17" s="1">
        <v>464.36576962860403</v>
      </c>
      <c r="H17" s="1">
        <v>368.50556499314422</v>
      </c>
      <c r="I17" s="1">
        <v>464.36576962860403</v>
      </c>
    </row>
    <row r="18" spans="1:9" ht="15" thickBot="1" x14ac:dyDescent="0.35">
      <c r="A18" s="2" t="s">
        <v>1242</v>
      </c>
      <c r="B18" s="2">
        <v>-9.2988682340836721</v>
      </c>
      <c r="C18" s="2">
        <v>6.3730737821182482</v>
      </c>
      <c r="D18" s="2">
        <v>-1.4590868632612886</v>
      </c>
      <c r="E18" s="2">
        <v>0.14524197072229741</v>
      </c>
      <c r="F18" s="2">
        <v>-21.823700131735428</v>
      </c>
      <c r="G18" s="2">
        <v>3.2259636635680824</v>
      </c>
      <c r="H18" s="2">
        <v>-21.823700131735428</v>
      </c>
      <c r="I18" s="2">
        <v>3.2259636635680824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086B-7E86-4892-98CE-73F2BBC55AD9}">
  <dimension ref="A3:B9"/>
  <sheetViews>
    <sheetView workbookViewId="0">
      <selection activeCell="J7" sqref="J7"/>
    </sheetView>
  </sheetViews>
  <sheetFormatPr defaultRowHeight="14.4" x14ac:dyDescent="0.3"/>
  <cols>
    <col min="1" max="1" width="12.5546875" bestFit="1" customWidth="1"/>
    <col min="2" max="2" width="16.21875" bestFit="1" customWidth="1"/>
  </cols>
  <sheetData>
    <row r="3" spans="1:2" x14ac:dyDescent="0.3">
      <c r="A3" s="7" t="s">
        <v>1244</v>
      </c>
      <c r="B3" t="s">
        <v>1246</v>
      </c>
    </row>
    <row r="4" spans="1:2" x14ac:dyDescent="0.3">
      <c r="A4" s="8" t="s">
        <v>39</v>
      </c>
      <c r="B4" s="6">
        <v>15260</v>
      </c>
    </row>
    <row r="5" spans="1:2" x14ac:dyDescent="0.3">
      <c r="A5" s="8" t="s">
        <v>49</v>
      </c>
      <c r="B5" s="6">
        <v>20110</v>
      </c>
    </row>
    <row r="6" spans="1:2" x14ac:dyDescent="0.3">
      <c r="A6" s="8" t="s">
        <v>24</v>
      </c>
      <c r="B6" s="6">
        <v>15750</v>
      </c>
    </row>
    <row r="7" spans="1:2" x14ac:dyDescent="0.3">
      <c r="A7" s="8" t="s">
        <v>63</v>
      </c>
      <c r="B7" s="6">
        <v>15920</v>
      </c>
    </row>
    <row r="8" spans="1:2" x14ac:dyDescent="0.3">
      <c r="A8" s="8" t="s">
        <v>15</v>
      </c>
      <c r="B8" s="6">
        <v>17740</v>
      </c>
    </row>
    <row r="9" spans="1:2" x14ac:dyDescent="0.3">
      <c r="A9" s="8" t="s">
        <v>1245</v>
      </c>
      <c r="B9" s="6">
        <v>84780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F414-0D13-4770-B721-C8657828F156}">
  <dimension ref="A3:B10"/>
  <sheetViews>
    <sheetView workbookViewId="0">
      <selection activeCell="A10" sqref="A10"/>
    </sheetView>
  </sheetViews>
  <sheetFormatPr defaultRowHeight="14.4" x14ac:dyDescent="0.3"/>
  <cols>
    <col min="1" max="1" width="12.5546875" bestFit="1" customWidth="1"/>
    <col min="2" max="2" width="15.5546875" bestFit="1" customWidth="1"/>
    <col min="3" max="3" width="18.6640625" bestFit="1" customWidth="1"/>
  </cols>
  <sheetData>
    <row r="3" spans="1:2" x14ac:dyDescent="0.3">
      <c r="A3" s="7" t="s">
        <v>1244</v>
      </c>
      <c r="B3" t="s">
        <v>1247</v>
      </c>
    </row>
    <row r="4" spans="1:2" x14ac:dyDescent="0.3">
      <c r="A4" s="8" t="s">
        <v>72</v>
      </c>
      <c r="B4" s="6">
        <v>77</v>
      </c>
    </row>
    <row r="5" spans="1:2" x14ac:dyDescent="0.3">
      <c r="A5" s="8" t="s">
        <v>40</v>
      </c>
      <c r="B5" s="6">
        <v>69</v>
      </c>
    </row>
    <row r="6" spans="1:2" x14ac:dyDescent="0.3">
      <c r="A6" s="8" t="s">
        <v>79</v>
      </c>
      <c r="B6" s="6">
        <v>81</v>
      </c>
    </row>
    <row r="7" spans="1:2" x14ac:dyDescent="0.3">
      <c r="A7" s="8" t="s">
        <v>27</v>
      </c>
      <c r="B7" s="6">
        <v>59</v>
      </c>
    </row>
    <row r="8" spans="1:2" x14ac:dyDescent="0.3">
      <c r="A8" s="8" t="s">
        <v>18</v>
      </c>
      <c r="B8" s="6">
        <v>80</v>
      </c>
    </row>
    <row r="9" spans="1:2" x14ac:dyDescent="0.3">
      <c r="A9" s="8" t="s">
        <v>50</v>
      </c>
      <c r="B9" s="6">
        <v>84</v>
      </c>
    </row>
    <row r="10" spans="1:2" x14ac:dyDescent="0.3">
      <c r="A10" s="8" t="s">
        <v>1245</v>
      </c>
      <c r="B10" s="6">
        <v>450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7303-3C56-410B-9409-721C3891C3B6}">
  <dimension ref="A3:B10"/>
  <sheetViews>
    <sheetView workbookViewId="0">
      <selection activeCell="N12" sqref="N12"/>
    </sheetView>
  </sheetViews>
  <sheetFormatPr defaultRowHeight="14.4" x14ac:dyDescent="0.3"/>
  <cols>
    <col min="1" max="1" width="12.5546875" bestFit="1" customWidth="1"/>
    <col min="2" max="2" width="17" bestFit="1" customWidth="1"/>
  </cols>
  <sheetData>
    <row r="3" spans="1:2" x14ac:dyDescent="0.3">
      <c r="A3" s="7" t="s">
        <v>1244</v>
      </c>
      <c r="B3" t="s">
        <v>1243</v>
      </c>
    </row>
    <row r="4" spans="1:2" x14ac:dyDescent="0.3">
      <c r="A4" s="8" t="s">
        <v>16</v>
      </c>
      <c r="B4" s="6">
        <v>93900</v>
      </c>
    </row>
    <row r="5" spans="1:2" x14ac:dyDescent="0.3">
      <c r="A5" s="8" t="s">
        <v>33</v>
      </c>
      <c r="B5" s="6">
        <v>21330</v>
      </c>
    </row>
    <row r="6" spans="1:2" x14ac:dyDescent="0.3">
      <c r="A6" s="8" t="s">
        <v>25</v>
      </c>
      <c r="B6" s="6">
        <v>201000</v>
      </c>
    </row>
    <row r="7" spans="1:2" x14ac:dyDescent="0.3">
      <c r="A7" s="8" t="s">
        <v>64</v>
      </c>
      <c r="B7" s="6">
        <v>131450</v>
      </c>
    </row>
    <row r="8" spans="1:2" x14ac:dyDescent="0.3">
      <c r="A8" s="8" t="s">
        <v>54</v>
      </c>
      <c r="B8" s="6">
        <v>36450</v>
      </c>
    </row>
    <row r="9" spans="1:2" x14ac:dyDescent="0.3">
      <c r="A9" s="8" t="s">
        <v>104</v>
      </c>
      <c r="B9" s="6">
        <v>98400</v>
      </c>
    </row>
    <row r="10" spans="1:2" x14ac:dyDescent="0.3">
      <c r="A10" s="8" t="s">
        <v>1245</v>
      </c>
      <c r="B10" s="6">
        <v>582530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4081-032F-46F6-870C-8CB86E8AA79B}">
  <dimension ref="A3:B7"/>
  <sheetViews>
    <sheetView workbookViewId="0">
      <selection activeCell="N9" sqref="N9"/>
    </sheetView>
  </sheetViews>
  <sheetFormatPr defaultRowHeight="14.4" x14ac:dyDescent="0.3"/>
  <cols>
    <col min="1" max="1" width="12.5546875" bestFit="1" customWidth="1"/>
    <col min="2" max="2" width="14.88671875" bestFit="1" customWidth="1"/>
  </cols>
  <sheetData>
    <row r="3" spans="1:2" x14ac:dyDescent="0.3">
      <c r="A3" s="7" t="s">
        <v>1244</v>
      </c>
      <c r="B3" t="s">
        <v>1248</v>
      </c>
    </row>
    <row r="4" spans="1:2" x14ac:dyDescent="0.3">
      <c r="A4" s="8" t="s">
        <v>34</v>
      </c>
      <c r="B4" s="6">
        <v>237</v>
      </c>
    </row>
    <row r="5" spans="1:2" x14ac:dyDescent="0.3">
      <c r="A5" s="8" t="s">
        <v>26</v>
      </c>
      <c r="B5" s="6">
        <v>753</v>
      </c>
    </row>
    <row r="6" spans="1:2" x14ac:dyDescent="0.3">
      <c r="A6" s="8" t="s">
        <v>17</v>
      </c>
      <c r="B6" s="6">
        <v>556</v>
      </c>
    </row>
    <row r="7" spans="1:2" x14ac:dyDescent="0.3">
      <c r="A7" s="8" t="s">
        <v>1245</v>
      </c>
      <c r="B7" s="6">
        <v>1546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0808E-3B09-4108-81B9-AFB197C710F2}">
  <dimension ref="A3:B9"/>
  <sheetViews>
    <sheetView workbookViewId="0">
      <selection activeCell="L31" sqref="L31"/>
    </sheetView>
  </sheetViews>
  <sheetFormatPr defaultRowHeight="14.4" x14ac:dyDescent="0.3"/>
  <cols>
    <col min="1" max="1" width="12.5546875" bestFit="1" customWidth="1"/>
    <col min="2" max="2" width="15.5546875" bestFit="1" customWidth="1"/>
  </cols>
  <sheetData>
    <row r="3" spans="1:2" x14ac:dyDescent="0.3">
      <c r="A3" s="7" t="s">
        <v>1244</v>
      </c>
      <c r="B3" t="s">
        <v>1247</v>
      </c>
    </row>
    <row r="4" spans="1:2" x14ac:dyDescent="0.3">
      <c r="A4" s="8" t="s">
        <v>19</v>
      </c>
      <c r="B4" s="6">
        <v>90</v>
      </c>
    </row>
    <row r="5" spans="1:2" x14ac:dyDescent="0.3">
      <c r="A5" s="8" t="s">
        <v>76</v>
      </c>
      <c r="B5" s="6">
        <v>93</v>
      </c>
    </row>
    <row r="6" spans="1:2" x14ac:dyDescent="0.3">
      <c r="A6" s="8" t="s">
        <v>55</v>
      </c>
      <c r="B6" s="6">
        <v>85</v>
      </c>
    </row>
    <row r="7" spans="1:2" x14ac:dyDescent="0.3">
      <c r="A7" s="8" t="s">
        <v>28</v>
      </c>
      <c r="B7" s="6">
        <v>95</v>
      </c>
    </row>
    <row r="8" spans="1:2" x14ac:dyDescent="0.3">
      <c r="A8" s="8" t="s">
        <v>35</v>
      </c>
      <c r="B8" s="6">
        <v>87</v>
      </c>
    </row>
    <row r="9" spans="1:2" x14ac:dyDescent="0.3">
      <c r="A9" s="8" t="s">
        <v>1245</v>
      </c>
      <c r="B9" s="6">
        <v>450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03DEC-D880-4109-8CC1-796AA1232F4F}">
  <sheetPr>
    <tabColor theme="4" tint="-0.249977111117893"/>
  </sheetPr>
  <dimension ref="I1:J12"/>
  <sheetViews>
    <sheetView tabSelected="1" zoomScale="99" zoomScaleNormal="99" workbookViewId="0">
      <selection activeCell="N28" sqref="N28"/>
    </sheetView>
  </sheetViews>
  <sheetFormatPr defaultRowHeight="14.4" x14ac:dyDescent="0.3"/>
  <cols>
    <col min="1" max="9" width="8.88671875" style="9"/>
    <col min="10" max="10" width="22.44140625" style="9" bestFit="1" customWidth="1"/>
    <col min="11" max="16384" width="8.88671875" style="9"/>
  </cols>
  <sheetData>
    <row r="1" spans="9:10" s="14" customFormat="1" ht="21" x14ac:dyDescent="0.4">
      <c r="I1" s="13" t="s">
        <v>1249</v>
      </c>
    </row>
    <row r="9" spans="9:10" ht="33.6" x14ac:dyDescent="0.65">
      <c r="J9" s="12" t="s">
        <v>1245</v>
      </c>
    </row>
    <row r="11" spans="9:10" ht="46.2" x14ac:dyDescent="0.85">
      <c r="J11" s="11">
        <f>GETPIVOTDATA("Total_Sales",'OBJ3'!$A$3)</f>
        <v>582530</v>
      </c>
    </row>
    <row r="12" spans="9:10" x14ac:dyDescent="0.3">
      <c r="J1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1"/>
  <sheetViews>
    <sheetView workbookViewId="0">
      <selection activeCell="N3" sqref="N3"/>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row>
    <row r="2" spans="1:14" x14ac:dyDescent="0.3">
      <c r="A2" t="s">
        <v>12</v>
      </c>
      <c r="B2" t="s">
        <v>13</v>
      </c>
      <c r="C2" t="s">
        <v>14</v>
      </c>
      <c r="D2" t="s">
        <v>15</v>
      </c>
      <c r="E2" t="s">
        <v>16</v>
      </c>
      <c r="F2" t="s">
        <v>17</v>
      </c>
      <c r="G2">
        <v>5</v>
      </c>
      <c r="H2">
        <v>300</v>
      </c>
      <c r="I2">
        <v>1500</v>
      </c>
      <c r="J2" t="s">
        <v>18</v>
      </c>
      <c r="K2" t="s">
        <v>19</v>
      </c>
      <c r="L2" t="s">
        <v>20</v>
      </c>
    </row>
    <row r="3" spans="1:14" x14ac:dyDescent="0.3">
      <c r="A3" t="s">
        <v>21</v>
      </c>
      <c r="B3" t="s">
        <v>22</v>
      </c>
      <c r="C3" t="s">
        <v>23</v>
      </c>
      <c r="D3" t="s">
        <v>24</v>
      </c>
      <c r="E3" t="s">
        <v>25</v>
      </c>
      <c r="F3" t="s">
        <v>26</v>
      </c>
      <c r="G3">
        <v>2</v>
      </c>
      <c r="H3">
        <v>750</v>
      </c>
      <c r="I3">
        <v>1500</v>
      </c>
      <c r="J3" t="s">
        <v>27</v>
      </c>
      <c r="K3" t="s">
        <v>28</v>
      </c>
      <c r="L3" t="s">
        <v>20</v>
      </c>
      <c r="N3">
        <f>SUM(I2:I451)</f>
        <v>582530</v>
      </c>
    </row>
    <row r="4" spans="1:14" x14ac:dyDescent="0.3">
      <c r="A4" t="s">
        <v>29</v>
      </c>
      <c r="B4" t="s">
        <v>30</v>
      </c>
      <c r="C4" t="s">
        <v>31</v>
      </c>
      <c r="D4" t="s">
        <v>32</v>
      </c>
      <c r="E4" t="s">
        <v>33</v>
      </c>
      <c r="F4" t="s">
        <v>34</v>
      </c>
      <c r="G4">
        <v>5</v>
      </c>
      <c r="H4">
        <v>90</v>
      </c>
      <c r="I4">
        <v>450</v>
      </c>
      <c r="J4" t="s">
        <v>18</v>
      </c>
      <c r="K4" t="s">
        <v>35</v>
      </c>
      <c r="L4" t="s">
        <v>20</v>
      </c>
    </row>
    <row r="5" spans="1:14" x14ac:dyDescent="0.3">
      <c r="A5" t="s">
        <v>36</v>
      </c>
      <c r="B5" t="s">
        <v>37</v>
      </c>
      <c r="C5" t="s">
        <v>38</v>
      </c>
      <c r="D5" t="s">
        <v>39</v>
      </c>
      <c r="E5" t="s">
        <v>16</v>
      </c>
      <c r="F5" t="s">
        <v>17</v>
      </c>
      <c r="G5">
        <v>5</v>
      </c>
      <c r="H5">
        <v>300</v>
      </c>
      <c r="I5">
        <v>1500</v>
      </c>
      <c r="J5" t="s">
        <v>40</v>
      </c>
      <c r="K5" t="s">
        <v>28</v>
      </c>
      <c r="L5" t="s">
        <v>41</v>
      </c>
    </row>
    <row r="6" spans="1:14" x14ac:dyDescent="0.3">
      <c r="A6" t="s">
        <v>42</v>
      </c>
      <c r="B6" t="s">
        <v>43</v>
      </c>
      <c r="C6" t="s">
        <v>44</v>
      </c>
      <c r="D6" t="s">
        <v>45</v>
      </c>
      <c r="E6" t="s">
        <v>16</v>
      </c>
      <c r="F6" t="s">
        <v>17</v>
      </c>
      <c r="G6">
        <v>5</v>
      </c>
      <c r="H6">
        <v>300</v>
      </c>
      <c r="I6">
        <v>1500</v>
      </c>
      <c r="J6" t="s">
        <v>40</v>
      </c>
      <c r="K6" t="s">
        <v>19</v>
      </c>
      <c r="L6" t="s">
        <v>41</v>
      </c>
    </row>
    <row r="7" spans="1:14" x14ac:dyDescent="0.3">
      <c r="A7" t="s">
        <v>46</v>
      </c>
      <c r="B7" t="s">
        <v>47</v>
      </c>
      <c r="C7" t="s">
        <v>48</v>
      </c>
      <c r="D7" t="s">
        <v>49</v>
      </c>
      <c r="E7" t="s">
        <v>25</v>
      </c>
      <c r="F7" t="s">
        <v>26</v>
      </c>
      <c r="G7">
        <v>1</v>
      </c>
      <c r="H7">
        <v>750</v>
      </c>
      <c r="I7">
        <v>750</v>
      </c>
      <c r="J7" t="s">
        <v>50</v>
      </c>
      <c r="K7" t="s">
        <v>19</v>
      </c>
      <c r="L7" t="s">
        <v>41</v>
      </c>
    </row>
    <row r="8" spans="1:14" x14ac:dyDescent="0.3">
      <c r="A8" t="s">
        <v>51</v>
      </c>
      <c r="B8" t="s">
        <v>52</v>
      </c>
      <c r="C8" t="s">
        <v>53</v>
      </c>
      <c r="D8" t="s">
        <v>32</v>
      </c>
      <c r="E8" t="s">
        <v>54</v>
      </c>
      <c r="F8" t="s">
        <v>17</v>
      </c>
      <c r="G8">
        <v>4</v>
      </c>
      <c r="H8">
        <v>150</v>
      </c>
      <c r="I8">
        <v>600</v>
      </c>
      <c r="J8" t="s">
        <v>18</v>
      </c>
      <c r="K8" t="s">
        <v>55</v>
      </c>
      <c r="L8" t="s">
        <v>56</v>
      </c>
    </row>
    <row r="9" spans="1:14" x14ac:dyDescent="0.3">
      <c r="A9" t="s">
        <v>57</v>
      </c>
      <c r="B9" t="s">
        <v>58</v>
      </c>
      <c r="C9" t="s">
        <v>59</v>
      </c>
      <c r="D9" t="s">
        <v>49</v>
      </c>
      <c r="E9" t="s">
        <v>25</v>
      </c>
      <c r="F9" t="s">
        <v>26</v>
      </c>
      <c r="G9">
        <v>4</v>
      </c>
      <c r="H9">
        <v>750</v>
      </c>
      <c r="I9">
        <v>3000</v>
      </c>
      <c r="J9" t="s">
        <v>50</v>
      </c>
      <c r="K9" t="s">
        <v>19</v>
      </c>
      <c r="L9" t="s">
        <v>20</v>
      </c>
    </row>
    <row r="10" spans="1:14" x14ac:dyDescent="0.3">
      <c r="A10" t="s">
        <v>60</v>
      </c>
      <c r="B10" t="s">
        <v>61</v>
      </c>
      <c r="C10" t="s">
        <v>62</v>
      </c>
      <c r="D10" t="s">
        <v>63</v>
      </c>
      <c r="E10" t="s">
        <v>64</v>
      </c>
      <c r="F10" t="s">
        <v>26</v>
      </c>
      <c r="G10">
        <v>2</v>
      </c>
      <c r="H10">
        <v>550</v>
      </c>
      <c r="I10">
        <v>1100</v>
      </c>
      <c r="J10" t="s">
        <v>50</v>
      </c>
      <c r="K10" t="s">
        <v>28</v>
      </c>
      <c r="L10" t="s">
        <v>56</v>
      </c>
    </row>
    <row r="11" spans="1:14" x14ac:dyDescent="0.3">
      <c r="A11" t="s">
        <v>65</v>
      </c>
      <c r="B11" t="s">
        <v>66</v>
      </c>
      <c r="C11" t="s">
        <v>67</v>
      </c>
      <c r="D11" t="s">
        <v>39</v>
      </c>
      <c r="E11" t="s">
        <v>16</v>
      </c>
      <c r="F11" t="s">
        <v>17</v>
      </c>
      <c r="G11">
        <v>1</v>
      </c>
      <c r="H11">
        <v>300</v>
      </c>
      <c r="I11">
        <v>300</v>
      </c>
      <c r="J11" t="s">
        <v>18</v>
      </c>
      <c r="K11" t="s">
        <v>55</v>
      </c>
      <c r="L11" t="s">
        <v>41</v>
      </c>
    </row>
    <row r="12" spans="1:14" x14ac:dyDescent="0.3">
      <c r="A12" t="s">
        <v>68</v>
      </c>
      <c r="B12" t="s">
        <v>69</v>
      </c>
      <c r="C12" t="s">
        <v>70</v>
      </c>
      <c r="D12" t="s">
        <v>71</v>
      </c>
      <c r="E12" t="s">
        <v>54</v>
      </c>
      <c r="F12" t="s">
        <v>17</v>
      </c>
      <c r="G12">
        <v>5</v>
      </c>
      <c r="H12">
        <v>150</v>
      </c>
      <c r="I12">
        <v>750</v>
      </c>
      <c r="J12" t="s">
        <v>72</v>
      </c>
      <c r="K12" t="s">
        <v>35</v>
      </c>
      <c r="L12" t="s">
        <v>20</v>
      </c>
    </row>
    <row r="13" spans="1:14" x14ac:dyDescent="0.3">
      <c r="A13" t="s">
        <v>73</v>
      </c>
      <c r="B13" t="s">
        <v>74</v>
      </c>
      <c r="C13" t="s">
        <v>75</v>
      </c>
      <c r="D13" t="s">
        <v>71</v>
      </c>
      <c r="E13" t="s">
        <v>16</v>
      </c>
      <c r="F13" t="s">
        <v>17</v>
      </c>
      <c r="G13">
        <v>2</v>
      </c>
      <c r="H13">
        <v>300</v>
      </c>
      <c r="I13">
        <v>600</v>
      </c>
      <c r="J13" t="s">
        <v>50</v>
      </c>
      <c r="K13" t="s">
        <v>76</v>
      </c>
      <c r="L13" t="s">
        <v>20</v>
      </c>
    </row>
    <row r="14" spans="1:14" x14ac:dyDescent="0.3">
      <c r="A14" t="s">
        <v>77</v>
      </c>
      <c r="B14" t="s">
        <v>58</v>
      </c>
      <c r="C14" t="s">
        <v>78</v>
      </c>
      <c r="D14" t="s">
        <v>15</v>
      </c>
      <c r="E14" t="s">
        <v>33</v>
      </c>
      <c r="F14" t="s">
        <v>34</v>
      </c>
      <c r="G14">
        <v>5</v>
      </c>
      <c r="H14">
        <v>90</v>
      </c>
      <c r="I14">
        <v>450</v>
      </c>
      <c r="J14" t="s">
        <v>79</v>
      </c>
      <c r="K14" t="s">
        <v>55</v>
      </c>
      <c r="L14" t="s">
        <v>56</v>
      </c>
    </row>
    <row r="15" spans="1:14" x14ac:dyDescent="0.3">
      <c r="A15" t="s">
        <v>80</v>
      </c>
      <c r="B15" t="s">
        <v>81</v>
      </c>
      <c r="C15" t="s">
        <v>82</v>
      </c>
      <c r="D15" t="s">
        <v>83</v>
      </c>
      <c r="E15" t="s">
        <v>25</v>
      </c>
      <c r="F15" t="s">
        <v>26</v>
      </c>
      <c r="G15">
        <v>1</v>
      </c>
      <c r="H15">
        <v>750</v>
      </c>
      <c r="I15">
        <v>750</v>
      </c>
      <c r="J15" t="s">
        <v>50</v>
      </c>
      <c r="K15" t="s">
        <v>19</v>
      </c>
      <c r="L15" t="s">
        <v>56</v>
      </c>
    </row>
    <row r="16" spans="1:14" x14ac:dyDescent="0.3">
      <c r="A16" t="s">
        <v>84</v>
      </c>
      <c r="B16" t="s">
        <v>85</v>
      </c>
      <c r="C16" t="s">
        <v>86</v>
      </c>
      <c r="D16" t="s">
        <v>83</v>
      </c>
      <c r="E16" t="s">
        <v>25</v>
      </c>
      <c r="F16" t="s">
        <v>26</v>
      </c>
      <c r="G16">
        <v>1</v>
      </c>
      <c r="H16">
        <v>750</v>
      </c>
      <c r="I16">
        <v>750</v>
      </c>
      <c r="J16" t="s">
        <v>50</v>
      </c>
      <c r="K16" t="s">
        <v>19</v>
      </c>
      <c r="L16" t="s">
        <v>41</v>
      </c>
    </row>
    <row r="17" spans="1:12" x14ac:dyDescent="0.3">
      <c r="A17" t="s">
        <v>87</v>
      </c>
      <c r="B17" t="s">
        <v>88</v>
      </c>
      <c r="C17" t="s">
        <v>89</v>
      </c>
      <c r="D17" t="s">
        <v>49</v>
      </c>
      <c r="E17" t="s">
        <v>16</v>
      </c>
      <c r="F17" t="s">
        <v>17</v>
      </c>
      <c r="G17">
        <v>4</v>
      </c>
      <c r="H17">
        <v>300</v>
      </c>
      <c r="I17">
        <v>1200</v>
      </c>
      <c r="J17" t="s">
        <v>79</v>
      </c>
      <c r="K17" t="s">
        <v>76</v>
      </c>
      <c r="L17" t="s">
        <v>20</v>
      </c>
    </row>
    <row r="18" spans="1:12" x14ac:dyDescent="0.3">
      <c r="A18" t="s">
        <v>90</v>
      </c>
      <c r="B18" t="s">
        <v>91</v>
      </c>
      <c r="C18" t="s">
        <v>92</v>
      </c>
      <c r="D18" t="s">
        <v>93</v>
      </c>
      <c r="E18" t="s">
        <v>25</v>
      </c>
      <c r="F18" t="s">
        <v>26</v>
      </c>
      <c r="G18">
        <v>4</v>
      </c>
      <c r="H18">
        <v>750</v>
      </c>
      <c r="I18">
        <v>3000</v>
      </c>
      <c r="J18" t="s">
        <v>72</v>
      </c>
      <c r="K18" t="s">
        <v>35</v>
      </c>
      <c r="L18" t="s">
        <v>56</v>
      </c>
    </row>
    <row r="19" spans="1:12" x14ac:dyDescent="0.3">
      <c r="A19" t="s">
        <v>94</v>
      </c>
      <c r="B19" t="s">
        <v>95</v>
      </c>
      <c r="C19" t="s">
        <v>96</v>
      </c>
      <c r="D19" t="s">
        <v>15</v>
      </c>
      <c r="E19" t="s">
        <v>16</v>
      </c>
      <c r="F19" t="s">
        <v>17</v>
      </c>
      <c r="G19">
        <v>6</v>
      </c>
      <c r="H19">
        <v>300</v>
      </c>
      <c r="I19">
        <v>1800</v>
      </c>
      <c r="J19" t="s">
        <v>72</v>
      </c>
      <c r="K19" t="s">
        <v>28</v>
      </c>
      <c r="L19" t="s">
        <v>41</v>
      </c>
    </row>
    <row r="20" spans="1:12" x14ac:dyDescent="0.3">
      <c r="A20" t="s">
        <v>97</v>
      </c>
      <c r="B20" t="s">
        <v>98</v>
      </c>
      <c r="C20" t="s">
        <v>99</v>
      </c>
      <c r="D20" t="s">
        <v>71</v>
      </c>
      <c r="E20" t="s">
        <v>54</v>
      </c>
      <c r="F20" t="s">
        <v>17</v>
      </c>
      <c r="G20">
        <v>4</v>
      </c>
      <c r="H20">
        <v>150</v>
      </c>
      <c r="I20">
        <v>600</v>
      </c>
      <c r="J20" t="s">
        <v>50</v>
      </c>
      <c r="K20" t="s">
        <v>55</v>
      </c>
      <c r="L20" t="s">
        <v>41</v>
      </c>
    </row>
    <row r="21" spans="1:12" x14ac:dyDescent="0.3">
      <c r="A21" t="s">
        <v>100</v>
      </c>
      <c r="B21" t="s">
        <v>101</v>
      </c>
      <c r="C21" t="s">
        <v>102</v>
      </c>
      <c r="D21" t="s">
        <v>103</v>
      </c>
      <c r="E21" t="s">
        <v>104</v>
      </c>
      <c r="F21" t="s">
        <v>26</v>
      </c>
      <c r="G21">
        <v>2</v>
      </c>
      <c r="H21">
        <v>400</v>
      </c>
      <c r="I21">
        <v>800</v>
      </c>
      <c r="J21" t="s">
        <v>50</v>
      </c>
      <c r="K21" t="s">
        <v>28</v>
      </c>
      <c r="L21" t="s">
        <v>41</v>
      </c>
    </row>
    <row r="22" spans="1:12" x14ac:dyDescent="0.3">
      <c r="A22" t="s">
        <v>105</v>
      </c>
      <c r="B22" t="s">
        <v>106</v>
      </c>
      <c r="C22" t="s">
        <v>107</v>
      </c>
      <c r="D22" t="s">
        <v>24</v>
      </c>
      <c r="E22" t="s">
        <v>16</v>
      </c>
      <c r="F22" t="s">
        <v>17</v>
      </c>
      <c r="G22">
        <v>2</v>
      </c>
      <c r="H22">
        <v>300</v>
      </c>
      <c r="I22">
        <v>600</v>
      </c>
      <c r="J22" t="s">
        <v>79</v>
      </c>
      <c r="K22" t="s">
        <v>35</v>
      </c>
      <c r="L22" t="s">
        <v>41</v>
      </c>
    </row>
    <row r="23" spans="1:12" x14ac:dyDescent="0.3">
      <c r="A23" t="s">
        <v>108</v>
      </c>
      <c r="B23" t="s">
        <v>109</v>
      </c>
      <c r="C23" t="s">
        <v>110</v>
      </c>
      <c r="D23" t="s">
        <v>45</v>
      </c>
      <c r="E23" t="s">
        <v>54</v>
      </c>
      <c r="F23" t="s">
        <v>17</v>
      </c>
      <c r="G23">
        <v>1</v>
      </c>
      <c r="H23">
        <v>150</v>
      </c>
      <c r="I23">
        <v>150</v>
      </c>
      <c r="J23" t="s">
        <v>40</v>
      </c>
      <c r="K23" t="s">
        <v>35</v>
      </c>
      <c r="L23" t="s">
        <v>20</v>
      </c>
    </row>
    <row r="24" spans="1:12" x14ac:dyDescent="0.3">
      <c r="A24" t="s">
        <v>111</v>
      </c>
      <c r="B24" t="s">
        <v>112</v>
      </c>
      <c r="C24" t="s">
        <v>113</v>
      </c>
      <c r="D24" t="s">
        <v>63</v>
      </c>
      <c r="E24" t="s">
        <v>16</v>
      </c>
      <c r="F24" t="s">
        <v>17</v>
      </c>
      <c r="G24">
        <v>6</v>
      </c>
      <c r="H24">
        <v>300</v>
      </c>
      <c r="I24">
        <v>1800</v>
      </c>
      <c r="J24" t="s">
        <v>18</v>
      </c>
      <c r="K24" t="s">
        <v>35</v>
      </c>
      <c r="L24" t="s">
        <v>20</v>
      </c>
    </row>
    <row r="25" spans="1:12" x14ac:dyDescent="0.3">
      <c r="A25" t="s">
        <v>114</v>
      </c>
      <c r="B25" t="s">
        <v>115</v>
      </c>
      <c r="C25" t="s">
        <v>116</v>
      </c>
      <c r="D25" t="s">
        <v>32</v>
      </c>
      <c r="E25" t="s">
        <v>33</v>
      </c>
      <c r="F25" t="s">
        <v>34</v>
      </c>
      <c r="G25">
        <v>1</v>
      </c>
      <c r="H25">
        <v>90</v>
      </c>
      <c r="I25">
        <v>90</v>
      </c>
      <c r="J25" t="s">
        <v>79</v>
      </c>
      <c r="K25" t="s">
        <v>19</v>
      </c>
      <c r="L25" t="s">
        <v>41</v>
      </c>
    </row>
    <row r="26" spans="1:12" x14ac:dyDescent="0.3">
      <c r="A26" t="s">
        <v>117</v>
      </c>
      <c r="B26" t="s">
        <v>118</v>
      </c>
      <c r="C26" t="s">
        <v>119</v>
      </c>
      <c r="D26" t="s">
        <v>83</v>
      </c>
      <c r="E26" t="s">
        <v>25</v>
      </c>
      <c r="F26" t="s">
        <v>26</v>
      </c>
      <c r="G26">
        <v>1</v>
      </c>
      <c r="H26">
        <v>750</v>
      </c>
      <c r="I26">
        <v>750</v>
      </c>
      <c r="J26" t="s">
        <v>79</v>
      </c>
      <c r="K26" t="s">
        <v>19</v>
      </c>
      <c r="L26" t="s">
        <v>56</v>
      </c>
    </row>
    <row r="27" spans="1:12" x14ac:dyDescent="0.3">
      <c r="A27" t="s">
        <v>120</v>
      </c>
      <c r="B27" t="s">
        <v>30</v>
      </c>
      <c r="C27" t="s">
        <v>121</v>
      </c>
      <c r="D27" t="s">
        <v>103</v>
      </c>
      <c r="E27" t="s">
        <v>25</v>
      </c>
      <c r="F27" t="s">
        <v>26</v>
      </c>
      <c r="G27">
        <v>5</v>
      </c>
      <c r="H27">
        <v>750</v>
      </c>
      <c r="I27">
        <v>3750</v>
      </c>
      <c r="J27" t="s">
        <v>27</v>
      </c>
      <c r="K27" t="s">
        <v>55</v>
      </c>
      <c r="L27" t="s">
        <v>41</v>
      </c>
    </row>
    <row r="28" spans="1:12" x14ac:dyDescent="0.3">
      <c r="A28" t="s">
        <v>122</v>
      </c>
      <c r="B28" t="s">
        <v>123</v>
      </c>
      <c r="C28" t="s">
        <v>124</v>
      </c>
      <c r="D28" t="s">
        <v>83</v>
      </c>
      <c r="E28" t="s">
        <v>104</v>
      </c>
      <c r="F28" t="s">
        <v>26</v>
      </c>
      <c r="G28">
        <v>2</v>
      </c>
      <c r="H28">
        <v>400</v>
      </c>
      <c r="I28">
        <v>800</v>
      </c>
      <c r="J28" t="s">
        <v>27</v>
      </c>
      <c r="K28" t="s">
        <v>76</v>
      </c>
      <c r="L28" t="s">
        <v>20</v>
      </c>
    </row>
    <row r="29" spans="1:12" x14ac:dyDescent="0.3">
      <c r="A29" t="s">
        <v>125</v>
      </c>
      <c r="B29" t="s">
        <v>126</v>
      </c>
      <c r="C29" t="s">
        <v>127</v>
      </c>
      <c r="D29" t="s">
        <v>39</v>
      </c>
      <c r="E29" t="s">
        <v>25</v>
      </c>
      <c r="F29" t="s">
        <v>26</v>
      </c>
      <c r="G29">
        <v>1</v>
      </c>
      <c r="H29">
        <v>750</v>
      </c>
      <c r="I29">
        <v>750</v>
      </c>
      <c r="J29" t="s">
        <v>18</v>
      </c>
      <c r="K29" t="s">
        <v>35</v>
      </c>
      <c r="L29" t="s">
        <v>41</v>
      </c>
    </row>
    <row r="30" spans="1:12" x14ac:dyDescent="0.3">
      <c r="A30" t="s">
        <v>128</v>
      </c>
      <c r="B30" t="s">
        <v>129</v>
      </c>
      <c r="C30" t="s">
        <v>130</v>
      </c>
      <c r="D30" t="s">
        <v>63</v>
      </c>
      <c r="E30" t="s">
        <v>33</v>
      </c>
      <c r="F30" t="s">
        <v>34</v>
      </c>
      <c r="G30">
        <v>3</v>
      </c>
      <c r="H30">
        <v>90</v>
      </c>
      <c r="I30">
        <v>270</v>
      </c>
      <c r="J30" t="s">
        <v>18</v>
      </c>
      <c r="K30" t="s">
        <v>55</v>
      </c>
      <c r="L30" t="s">
        <v>41</v>
      </c>
    </row>
    <row r="31" spans="1:12" x14ac:dyDescent="0.3">
      <c r="A31" t="s">
        <v>131</v>
      </c>
      <c r="B31" t="s">
        <v>132</v>
      </c>
      <c r="C31" t="s">
        <v>133</v>
      </c>
      <c r="D31" t="s">
        <v>45</v>
      </c>
      <c r="E31" t="s">
        <v>16</v>
      </c>
      <c r="F31" t="s">
        <v>17</v>
      </c>
      <c r="G31">
        <v>1</v>
      </c>
      <c r="H31">
        <v>300</v>
      </c>
      <c r="I31">
        <v>300</v>
      </c>
      <c r="J31" t="s">
        <v>40</v>
      </c>
      <c r="K31" t="s">
        <v>19</v>
      </c>
      <c r="L31" t="s">
        <v>41</v>
      </c>
    </row>
    <row r="32" spans="1:12" x14ac:dyDescent="0.3">
      <c r="A32" t="s">
        <v>134</v>
      </c>
      <c r="B32" t="s">
        <v>135</v>
      </c>
      <c r="C32" t="s">
        <v>136</v>
      </c>
      <c r="D32" t="s">
        <v>103</v>
      </c>
      <c r="E32" t="s">
        <v>25</v>
      </c>
      <c r="F32" t="s">
        <v>26</v>
      </c>
      <c r="G32">
        <v>2</v>
      </c>
      <c r="H32">
        <v>750</v>
      </c>
      <c r="I32">
        <v>1500</v>
      </c>
      <c r="J32" t="s">
        <v>79</v>
      </c>
      <c r="K32" t="s">
        <v>35</v>
      </c>
      <c r="L32" t="s">
        <v>56</v>
      </c>
    </row>
    <row r="33" spans="1:12" x14ac:dyDescent="0.3">
      <c r="A33" t="s">
        <v>137</v>
      </c>
      <c r="B33" t="s">
        <v>138</v>
      </c>
      <c r="C33" t="s">
        <v>139</v>
      </c>
      <c r="D33" t="s">
        <v>103</v>
      </c>
      <c r="E33" t="s">
        <v>25</v>
      </c>
      <c r="F33" t="s">
        <v>26</v>
      </c>
      <c r="G33">
        <v>5</v>
      </c>
      <c r="H33">
        <v>750</v>
      </c>
      <c r="I33">
        <v>3750</v>
      </c>
      <c r="J33" t="s">
        <v>18</v>
      </c>
      <c r="K33" t="s">
        <v>19</v>
      </c>
      <c r="L33" t="s">
        <v>56</v>
      </c>
    </row>
    <row r="34" spans="1:12" x14ac:dyDescent="0.3">
      <c r="A34" t="s">
        <v>140</v>
      </c>
      <c r="B34" t="s">
        <v>141</v>
      </c>
      <c r="C34" t="s">
        <v>142</v>
      </c>
      <c r="D34" t="s">
        <v>143</v>
      </c>
      <c r="E34" t="s">
        <v>16</v>
      </c>
      <c r="F34" t="s">
        <v>17</v>
      </c>
      <c r="G34">
        <v>5</v>
      </c>
      <c r="H34">
        <v>300</v>
      </c>
      <c r="I34">
        <v>1500</v>
      </c>
      <c r="J34" t="s">
        <v>40</v>
      </c>
      <c r="K34" t="s">
        <v>28</v>
      </c>
      <c r="L34" t="s">
        <v>20</v>
      </c>
    </row>
    <row r="35" spans="1:12" x14ac:dyDescent="0.3">
      <c r="A35" t="s">
        <v>144</v>
      </c>
      <c r="B35" t="s">
        <v>145</v>
      </c>
      <c r="C35" t="s">
        <v>146</v>
      </c>
      <c r="D35" t="s">
        <v>93</v>
      </c>
      <c r="E35" t="s">
        <v>25</v>
      </c>
      <c r="F35" t="s">
        <v>26</v>
      </c>
      <c r="G35">
        <v>4</v>
      </c>
      <c r="H35">
        <v>750</v>
      </c>
      <c r="I35">
        <v>3000</v>
      </c>
      <c r="J35" t="s">
        <v>79</v>
      </c>
      <c r="K35" t="s">
        <v>28</v>
      </c>
      <c r="L35" t="s">
        <v>41</v>
      </c>
    </row>
    <row r="36" spans="1:12" x14ac:dyDescent="0.3">
      <c r="A36" t="s">
        <v>147</v>
      </c>
      <c r="B36" t="s">
        <v>148</v>
      </c>
      <c r="C36" t="s">
        <v>149</v>
      </c>
      <c r="D36" t="s">
        <v>93</v>
      </c>
      <c r="E36" t="s">
        <v>16</v>
      </c>
      <c r="F36" t="s">
        <v>17</v>
      </c>
      <c r="G36">
        <v>3</v>
      </c>
      <c r="H36">
        <v>300</v>
      </c>
      <c r="I36">
        <v>900</v>
      </c>
      <c r="J36" t="s">
        <v>40</v>
      </c>
      <c r="K36" t="s">
        <v>19</v>
      </c>
      <c r="L36" t="s">
        <v>56</v>
      </c>
    </row>
    <row r="37" spans="1:12" x14ac:dyDescent="0.3">
      <c r="A37" t="s">
        <v>150</v>
      </c>
      <c r="B37" t="s">
        <v>151</v>
      </c>
      <c r="C37" t="s">
        <v>152</v>
      </c>
      <c r="D37" t="s">
        <v>39</v>
      </c>
      <c r="E37" t="s">
        <v>54</v>
      </c>
      <c r="F37" t="s">
        <v>17</v>
      </c>
      <c r="G37">
        <v>2</v>
      </c>
      <c r="H37">
        <v>150</v>
      </c>
      <c r="I37">
        <v>300</v>
      </c>
      <c r="J37" t="s">
        <v>50</v>
      </c>
      <c r="K37" t="s">
        <v>76</v>
      </c>
      <c r="L37" t="s">
        <v>56</v>
      </c>
    </row>
    <row r="38" spans="1:12" x14ac:dyDescent="0.3">
      <c r="A38" t="s">
        <v>153</v>
      </c>
      <c r="B38" t="s">
        <v>154</v>
      </c>
      <c r="C38" t="s">
        <v>155</v>
      </c>
      <c r="D38" t="s">
        <v>143</v>
      </c>
      <c r="E38" t="s">
        <v>64</v>
      </c>
      <c r="F38" t="s">
        <v>26</v>
      </c>
      <c r="G38">
        <v>4</v>
      </c>
      <c r="H38">
        <v>550</v>
      </c>
      <c r="I38">
        <v>2200</v>
      </c>
      <c r="J38" t="s">
        <v>40</v>
      </c>
      <c r="K38" t="s">
        <v>35</v>
      </c>
      <c r="L38" t="s">
        <v>56</v>
      </c>
    </row>
    <row r="39" spans="1:12" x14ac:dyDescent="0.3">
      <c r="A39" t="s">
        <v>156</v>
      </c>
      <c r="B39" t="s">
        <v>157</v>
      </c>
      <c r="C39" t="s">
        <v>158</v>
      </c>
      <c r="D39" t="s">
        <v>24</v>
      </c>
      <c r="E39" t="s">
        <v>104</v>
      </c>
      <c r="F39" t="s">
        <v>26</v>
      </c>
      <c r="G39">
        <v>4</v>
      </c>
      <c r="H39">
        <v>400</v>
      </c>
      <c r="I39">
        <v>1600</v>
      </c>
      <c r="J39" t="s">
        <v>27</v>
      </c>
      <c r="K39" t="s">
        <v>35</v>
      </c>
      <c r="L39" t="s">
        <v>41</v>
      </c>
    </row>
    <row r="40" spans="1:12" x14ac:dyDescent="0.3">
      <c r="A40" t="s">
        <v>159</v>
      </c>
      <c r="B40" t="s">
        <v>160</v>
      </c>
      <c r="C40" t="s">
        <v>161</v>
      </c>
      <c r="D40" t="s">
        <v>83</v>
      </c>
      <c r="E40" t="s">
        <v>104</v>
      </c>
      <c r="F40" t="s">
        <v>26</v>
      </c>
      <c r="G40">
        <v>1</v>
      </c>
      <c r="H40">
        <v>400</v>
      </c>
      <c r="I40">
        <v>400</v>
      </c>
      <c r="J40" t="s">
        <v>18</v>
      </c>
      <c r="K40" t="s">
        <v>35</v>
      </c>
      <c r="L40" t="s">
        <v>56</v>
      </c>
    </row>
    <row r="41" spans="1:12" x14ac:dyDescent="0.3">
      <c r="A41" t="s">
        <v>162</v>
      </c>
      <c r="B41" t="s">
        <v>163</v>
      </c>
      <c r="C41" t="s">
        <v>164</v>
      </c>
      <c r="D41" t="s">
        <v>143</v>
      </c>
      <c r="E41" t="s">
        <v>33</v>
      </c>
      <c r="F41" t="s">
        <v>34</v>
      </c>
      <c r="G41">
        <v>4</v>
      </c>
      <c r="H41">
        <v>90</v>
      </c>
      <c r="I41">
        <v>360</v>
      </c>
      <c r="J41" t="s">
        <v>18</v>
      </c>
      <c r="K41" t="s">
        <v>35</v>
      </c>
      <c r="L41" t="s">
        <v>56</v>
      </c>
    </row>
    <row r="42" spans="1:12" x14ac:dyDescent="0.3">
      <c r="A42" t="s">
        <v>165</v>
      </c>
      <c r="B42" t="s">
        <v>166</v>
      </c>
      <c r="C42" t="s">
        <v>167</v>
      </c>
      <c r="D42" t="s">
        <v>39</v>
      </c>
      <c r="E42" t="s">
        <v>25</v>
      </c>
      <c r="F42" t="s">
        <v>26</v>
      </c>
      <c r="G42">
        <v>4</v>
      </c>
      <c r="H42">
        <v>750</v>
      </c>
      <c r="I42">
        <v>3000</v>
      </c>
      <c r="J42" t="s">
        <v>18</v>
      </c>
      <c r="K42" t="s">
        <v>28</v>
      </c>
      <c r="L42" t="s">
        <v>20</v>
      </c>
    </row>
    <row r="43" spans="1:12" x14ac:dyDescent="0.3">
      <c r="A43" t="s">
        <v>168</v>
      </c>
      <c r="B43" t="s">
        <v>169</v>
      </c>
      <c r="C43" t="s">
        <v>170</v>
      </c>
      <c r="D43" t="s">
        <v>15</v>
      </c>
      <c r="E43" t="s">
        <v>16</v>
      </c>
      <c r="F43" t="s">
        <v>17</v>
      </c>
      <c r="G43">
        <v>4</v>
      </c>
      <c r="H43">
        <v>300</v>
      </c>
      <c r="I43">
        <v>1200</v>
      </c>
      <c r="J43" t="s">
        <v>72</v>
      </c>
      <c r="K43" t="s">
        <v>28</v>
      </c>
      <c r="L43" t="s">
        <v>41</v>
      </c>
    </row>
    <row r="44" spans="1:12" x14ac:dyDescent="0.3">
      <c r="A44" t="s">
        <v>171</v>
      </c>
      <c r="B44" t="s">
        <v>118</v>
      </c>
      <c r="C44" t="s">
        <v>172</v>
      </c>
      <c r="D44" t="s">
        <v>83</v>
      </c>
      <c r="E44" t="s">
        <v>104</v>
      </c>
      <c r="F44" t="s">
        <v>26</v>
      </c>
      <c r="G44">
        <v>3</v>
      </c>
      <c r="H44">
        <v>400</v>
      </c>
      <c r="I44">
        <v>1200</v>
      </c>
      <c r="J44" t="s">
        <v>72</v>
      </c>
      <c r="K44" t="s">
        <v>55</v>
      </c>
      <c r="L44" t="s">
        <v>56</v>
      </c>
    </row>
    <row r="45" spans="1:12" x14ac:dyDescent="0.3">
      <c r="A45" t="s">
        <v>173</v>
      </c>
      <c r="B45" t="s">
        <v>174</v>
      </c>
      <c r="C45" t="s">
        <v>175</v>
      </c>
      <c r="D45" t="s">
        <v>39</v>
      </c>
      <c r="E45" t="s">
        <v>25</v>
      </c>
      <c r="F45" t="s">
        <v>26</v>
      </c>
      <c r="G45">
        <v>2</v>
      </c>
      <c r="H45">
        <v>750</v>
      </c>
      <c r="I45">
        <v>1500</v>
      </c>
      <c r="J45" t="s">
        <v>50</v>
      </c>
      <c r="K45" t="s">
        <v>76</v>
      </c>
      <c r="L45" t="s">
        <v>20</v>
      </c>
    </row>
    <row r="46" spans="1:12" x14ac:dyDescent="0.3">
      <c r="A46" t="s">
        <v>176</v>
      </c>
      <c r="B46" t="s">
        <v>166</v>
      </c>
      <c r="C46" t="s">
        <v>177</v>
      </c>
      <c r="D46" t="s">
        <v>93</v>
      </c>
      <c r="E46" t="s">
        <v>104</v>
      </c>
      <c r="F46" t="s">
        <v>26</v>
      </c>
      <c r="G46">
        <v>1</v>
      </c>
      <c r="H46">
        <v>400</v>
      </c>
      <c r="I46">
        <v>400</v>
      </c>
      <c r="J46" t="s">
        <v>50</v>
      </c>
      <c r="K46" t="s">
        <v>19</v>
      </c>
      <c r="L46" t="s">
        <v>20</v>
      </c>
    </row>
    <row r="47" spans="1:12" x14ac:dyDescent="0.3">
      <c r="A47" t="s">
        <v>178</v>
      </c>
      <c r="B47" t="s">
        <v>179</v>
      </c>
      <c r="C47" t="s">
        <v>180</v>
      </c>
      <c r="D47" t="s">
        <v>103</v>
      </c>
      <c r="E47" t="s">
        <v>25</v>
      </c>
      <c r="F47" t="s">
        <v>26</v>
      </c>
      <c r="G47">
        <v>4</v>
      </c>
      <c r="H47">
        <v>750</v>
      </c>
      <c r="I47">
        <v>3000</v>
      </c>
      <c r="J47" t="s">
        <v>27</v>
      </c>
      <c r="K47" t="s">
        <v>35</v>
      </c>
      <c r="L47" t="s">
        <v>56</v>
      </c>
    </row>
    <row r="48" spans="1:12" x14ac:dyDescent="0.3">
      <c r="A48" t="s">
        <v>181</v>
      </c>
      <c r="B48" t="s">
        <v>182</v>
      </c>
      <c r="C48" t="s">
        <v>183</v>
      </c>
      <c r="D48" t="s">
        <v>15</v>
      </c>
      <c r="E48" t="s">
        <v>25</v>
      </c>
      <c r="F48" t="s">
        <v>26</v>
      </c>
      <c r="G48">
        <v>5</v>
      </c>
      <c r="H48">
        <v>750</v>
      </c>
      <c r="I48">
        <v>3750</v>
      </c>
      <c r="J48" t="s">
        <v>18</v>
      </c>
      <c r="K48" t="s">
        <v>19</v>
      </c>
      <c r="L48" t="s">
        <v>56</v>
      </c>
    </row>
    <row r="49" spans="1:12" x14ac:dyDescent="0.3">
      <c r="A49" t="s">
        <v>184</v>
      </c>
      <c r="B49" t="s">
        <v>185</v>
      </c>
      <c r="C49" t="s">
        <v>186</v>
      </c>
      <c r="D49" t="s">
        <v>49</v>
      </c>
      <c r="E49" t="s">
        <v>104</v>
      </c>
      <c r="F49" t="s">
        <v>26</v>
      </c>
      <c r="G49">
        <v>2</v>
      </c>
      <c r="H49">
        <v>400</v>
      </c>
      <c r="I49">
        <v>800</v>
      </c>
      <c r="J49" t="s">
        <v>50</v>
      </c>
      <c r="K49" t="s">
        <v>55</v>
      </c>
      <c r="L49" t="s">
        <v>20</v>
      </c>
    </row>
    <row r="50" spans="1:12" x14ac:dyDescent="0.3">
      <c r="A50" t="s">
        <v>187</v>
      </c>
      <c r="B50" t="s">
        <v>188</v>
      </c>
      <c r="C50" t="s">
        <v>189</v>
      </c>
      <c r="D50" t="s">
        <v>39</v>
      </c>
      <c r="E50" t="s">
        <v>16</v>
      </c>
      <c r="F50" t="s">
        <v>17</v>
      </c>
      <c r="G50">
        <v>5</v>
      </c>
      <c r="H50">
        <v>300</v>
      </c>
      <c r="I50">
        <v>1500</v>
      </c>
      <c r="J50" t="s">
        <v>50</v>
      </c>
      <c r="K50" t="s">
        <v>35</v>
      </c>
      <c r="L50" t="s">
        <v>20</v>
      </c>
    </row>
    <row r="51" spans="1:12" x14ac:dyDescent="0.3">
      <c r="A51" t="s">
        <v>190</v>
      </c>
      <c r="B51" t="s">
        <v>191</v>
      </c>
      <c r="C51" t="s">
        <v>192</v>
      </c>
      <c r="D51" t="s">
        <v>49</v>
      </c>
      <c r="E51" t="s">
        <v>64</v>
      </c>
      <c r="F51" t="s">
        <v>26</v>
      </c>
      <c r="G51">
        <v>2</v>
      </c>
      <c r="H51">
        <v>550</v>
      </c>
      <c r="I51">
        <v>1100</v>
      </c>
      <c r="J51" t="s">
        <v>79</v>
      </c>
      <c r="K51" t="s">
        <v>76</v>
      </c>
      <c r="L51" t="s">
        <v>20</v>
      </c>
    </row>
    <row r="52" spans="1:12" x14ac:dyDescent="0.3">
      <c r="A52" t="s">
        <v>193</v>
      </c>
      <c r="B52" t="s">
        <v>194</v>
      </c>
      <c r="C52" t="s">
        <v>195</v>
      </c>
      <c r="D52" t="s">
        <v>49</v>
      </c>
      <c r="E52" t="s">
        <v>54</v>
      </c>
      <c r="F52" t="s">
        <v>17</v>
      </c>
      <c r="G52">
        <v>5</v>
      </c>
      <c r="H52">
        <v>150</v>
      </c>
      <c r="I52">
        <v>750</v>
      </c>
      <c r="J52" t="s">
        <v>50</v>
      </c>
      <c r="K52" t="s">
        <v>76</v>
      </c>
      <c r="L52" t="s">
        <v>20</v>
      </c>
    </row>
    <row r="53" spans="1:12" x14ac:dyDescent="0.3">
      <c r="A53" t="s">
        <v>196</v>
      </c>
      <c r="B53" t="s">
        <v>197</v>
      </c>
      <c r="C53" t="s">
        <v>198</v>
      </c>
      <c r="D53" t="s">
        <v>63</v>
      </c>
      <c r="E53" t="s">
        <v>64</v>
      </c>
      <c r="F53" t="s">
        <v>26</v>
      </c>
      <c r="G53">
        <v>1</v>
      </c>
      <c r="H53">
        <v>550</v>
      </c>
      <c r="I53">
        <v>550</v>
      </c>
      <c r="J53" t="s">
        <v>27</v>
      </c>
      <c r="K53" t="s">
        <v>55</v>
      </c>
      <c r="L53" t="s">
        <v>56</v>
      </c>
    </row>
    <row r="54" spans="1:12" x14ac:dyDescent="0.3">
      <c r="A54" t="s">
        <v>199</v>
      </c>
      <c r="B54" t="s">
        <v>200</v>
      </c>
      <c r="C54" t="s">
        <v>201</v>
      </c>
      <c r="D54" t="s">
        <v>143</v>
      </c>
      <c r="E54" t="s">
        <v>25</v>
      </c>
      <c r="F54" t="s">
        <v>26</v>
      </c>
      <c r="G54">
        <v>2</v>
      </c>
      <c r="H54">
        <v>750</v>
      </c>
      <c r="I54">
        <v>1500</v>
      </c>
      <c r="J54" t="s">
        <v>40</v>
      </c>
      <c r="K54" t="s">
        <v>55</v>
      </c>
      <c r="L54" t="s">
        <v>56</v>
      </c>
    </row>
    <row r="55" spans="1:12" x14ac:dyDescent="0.3">
      <c r="A55" t="s">
        <v>202</v>
      </c>
      <c r="B55" t="s">
        <v>203</v>
      </c>
      <c r="C55" t="s">
        <v>204</v>
      </c>
      <c r="D55" t="s">
        <v>103</v>
      </c>
      <c r="E55" t="s">
        <v>54</v>
      </c>
      <c r="F55" t="s">
        <v>17</v>
      </c>
      <c r="G55">
        <v>6</v>
      </c>
      <c r="H55">
        <v>150</v>
      </c>
      <c r="I55">
        <v>900</v>
      </c>
      <c r="J55" t="s">
        <v>72</v>
      </c>
      <c r="K55" t="s">
        <v>28</v>
      </c>
      <c r="L55" t="s">
        <v>56</v>
      </c>
    </row>
    <row r="56" spans="1:12" x14ac:dyDescent="0.3">
      <c r="A56" t="s">
        <v>205</v>
      </c>
      <c r="B56" t="s">
        <v>206</v>
      </c>
      <c r="C56" t="s">
        <v>207</v>
      </c>
      <c r="D56" t="s">
        <v>63</v>
      </c>
      <c r="E56" t="s">
        <v>104</v>
      </c>
      <c r="F56" t="s">
        <v>26</v>
      </c>
      <c r="G56">
        <v>2</v>
      </c>
      <c r="H56">
        <v>400</v>
      </c>
      <c r="I56">
        <v>800</v>
      </c>
      <c r="J56" t="s">
        <v>72</v>
      </c>
      <c r="K56" t="s">
        <v>28</v>
      </c>
      <c r="L56" t="s">
        <v>41</v>
      </c>
    </row>
    <row r="57" spans="1:12" x14ac:dyDescent="0.3">
      <c r="A57" t="s">
        <v>208</v>
      </c>
      <c r="B57" t="s">
        <v>209</v>
      </c>
      <c r="C57" t="s">
        <v>210</v>
      </c>
      <c r="D57" t="s">
        <v>63</v>
      </c>
      <c r="E57" t="s">
        <v>16</v>
      </c>
      <c r="F57" t="s">
        <v>17</v>
      </c>
      <c r="G57">
        <v>3</v>
      </c>
      <c r="H57">
        <v>300</v>
      </c>
      <c r="I57">
        <v>900</v>
      </c>
      <c r="J57" t="s">
        <v>50</v>
      </c>
      <c r="K57" t="s">
        <v>76</v>
      </c>
      <c r="L57" t="s">
        <v>41</v>
      </c>
    </row>
    <row r="58" spans="1:12" x14ac:dyDescent="0.3">
      <c r="A58" t="s">
        <v>211</v>
      </c>
      <c r="B58" t="s">
        <v>141</v>
      </c>
      <c r="C58" t="s">
        <v>212</v>
      </c>
      <c r="D58" t="s">
        <v>93</v>
      </c>
      <c r="E58" t="s">
        <v>33</v>
      </c>
      <c r="F58" t="s">
        <v>34</v>
      </c>
      <c r="G58">
        <v>1</v>
      </c>
      <c r="H58">
        <v>90</v>
      </c>
      <c r="I58">
        <v>90</v>
      </c>
      <c r="J58" t="s">
        <v>18</v>
      </c>
      <c r="K58" t="s">
        <v>28</v>
      </c>
      <c r="L58" t="s">
        <v>41</v>
      </c>
    </row>
    <row r="59" spans="1:12" x14ac:dyDescent="0.3">
      <c r="A59" t="s">
        <v>213</v>
      </c>
      <c r="B59" t="s">
        <v>191</v>
      </c>
      <c r="C59" t="s">
        <v>214</v>
      </c>
      <c r="D59" t="s">
        <v>49</v>
      </c>
      <c r="E59" t="s">
        <v>104</v>
      </c>
      <c r="F59" t="s">
        <v>26</v>
      </c>
      <c r="G59">
        <v>6</v>
      </c>
      <c r="H59">
        <v>400</v>
      </c>
      <c r="I59">
        <v>2400</v>
      </c>
      <c r="J59" t="s">
        <v>18</v>
      </c>
      <c r="K59" t="s">
        <v>76</v>
      </c>
      <c r="L59" t="s">
        <v>20</v>
      </c>
    </row>
    <row r="60" spans="1:12" x14ac:dyDescent="0.3">
      <c r="A60" t="s">
        <v>215</v>
      </c>
      <c r="B60" t="s">
        <v>216</v>
      </c>
      <c r="C60" t="s">
        <v>217</v>
      </c>
      <c r="D60" t="s">
        <v>71</v>
      </c>
      <c r="E60" t="s">
        <v>104</v>
      </c>
      <c r="F60" t="s">
        <v>26</v>
      </c>
      <c r="G60">
        <v>3</v>
      </c>
      <c r="H60">
        <v>400</v>
      </c>
      <c r="I60">
        <v>1200</v>
      </c>
      <c r="J60" t="s">
        <v>79</v>
      </c>
      <c r="K60" t="s">
        <v>28</v>
      </c>
      <c r="L60" t="s">
        <v>56</v>
      </c>
    </row>
    <row r="61" spans="1:12" x14ac:dyDescent="0.3">
      <c r="A61" t="s">
        <v>218</v>
      </c>
      <c r="B61" t="s">
        <v>219</v>
      </c>
      <c r="C61" t="s">
        <v>220</v>
      </c>
      <c r="D61" t="s">
        <v>63</v>
      </c>
      <c r="E61" t="s">
        <v>104</v>
      </c>
      <c r="F61" t="s">
        <v>26</v>
      </c>
      <c r="G61">
        <v>5</v>
      </c>
      <c r="H61">
        <v>400</v>
      </c>
      <c r="I61">
        <v>2000</v>
      </c>
      <c r="J61" t="s">
        <v>72</v>
      </c>
      <c r="K61" t="s">
        <v>76</v>
      </c>
      <c r="L61" t="s">
        <v>56</v>
      </c>
    </row>
    <row r="62" spans="1:12" x14ac:dyDescent="0.3">
      <c r="A62" t="s">
        <v>221</v>
      </c>
      <c r="B62" t="s">
        <v>222</v>
      </c>
      <c r="C62" t="s">
        <v>223</v>
      </c>
      <c r="D62" t="s">
        <v>83</v>
      </c>
      <c r="E62" t="s">
        <v>16</v>
      </c>
      <c r="F62" t="s">
        <v>17</v>
      </c>
      <c r="G62">
        <v>6</v>
      </c>
      <c r="H62">
        <v>300</v>
      </c>
      <c r="I62">
        <v>1800</v>
      </c>
      <c r="J62" t="s">
        <v>72</v>
      </c>
      <c r="K62" t="s">
        <v>35</v>
      </c>
      <c r="L62" t="s">
        <v>56</v>
      </c>
    </row>
    <row r="63" spans="1:12" x14ac:dyDescent="0.3">
      <c r="A63" t="s">
        <v>224</v>
      </c>
      <c r="B63" t="s">
        <v>225</v>
      </c>
      <c r="C63" t="s">
        <v>226</v>
      </c>
      <c r="D63" t="s">
        <v>24</v>
      </c>
      <c r="E63" t="s">
        <v>33</v>
      </c>
      <c r="F63" t="s">
        <v>34</v>
      </c>
      <c r="G63">
        <v>1</v>
      </c>
      <c r="H63">
        <v>90</v>
      </c>
      <c r="I63">
        <v>90</v>
      </c>
      <c r="J63" t="s">
        <v>18</v>
      </c>
      <c r="K63" t="s">
        <v>76</v>
      </c>
      <c r="L63" t="s">
        <v>41</v>
      </c>
    </row>
    <row r="64" spans="1:12" x14ac:dyDescent="0.3">
      <c r="A64" t="s">
        <v>227</v>
      </c>
      <c r="B64" t="s">
        <v>228</v>
      </c>
      <c r="C64" t="s">
        <v>229</v>
      </c>
      <c r="D64" t="s">
        <v>63</v>
      </c>
      <c r="E64" t="s">
        <v>64</v>
      </c>
      <c r="F64" t="s">
        <v>26</v>
      </c>
      <c r="G64">
        <v>3</v>
      </c>
      <c r="H64">
        <v>550</v>
      </c>
      <c r="I64">
        <v>1650</v>
      </c>
      <c r="J64" t="s">
        <v>50</v>
      </c>
      <c r="K64" t="s">
        <v>28</v>
      </c>
      <c r="L64" t="s">
        <v>20</v>
      </c>
    </row>
    <row r="65" spans="1:12" x14ac:dyDescent="0.3">
      <c r="A65" t="s">
        <v>230</v>
      </c>
      <c r="B65" t="s">
        <v>231</v>
      </c>
      <c r="C65" t="s">
        <v>232</v>
      </c>
      <c r="D65" t="s">
        <v>143</v>
      </c>
      <c r="E65" t="s">
        <v>16</v>
      </c>
      <c r="F65" t="s">
        <v>17</v>
      </c>
      <c r="G65">
        <v>5</v>
      </c>
      <c r="H65">
        <v>300</v>
      </c>
      <c r="I65">
        <v>1500</v>
      </c>
      <c r="J65" t="s">
        <v>79</v>
      </c>
      <c r="K65" t="s">
        <v>35</v>
      </c>
      <c r="L65" t="s">
        <v>56</v>
      </c>
    </row>
    <row r="66" spans="1:12" x14ac:dyDescent="0.3">
      <c r="A66" t="s">
        <v>233</v>
      </c>
      <c r="B66" t="s">
        <v>234</v>
      </c>
      <c r="C66" t="s">
        <v>235</v>
      </c>
      <c r="D66" t="s">
        <v>15</v>
      </c>
      <c r="E66" t="s">
        <v>33</v>
      </c>
      <c r="F66" t="s">
        <v>34</v>
      </c>
      <c r="G66">
        <v>3</v>
      </c>
      <c r="H66">
        <v>90</v>
      </c>
      <c r="I66">
        <v>270</v>
      </c>
      <c r="J66" t="s">
        <v>79</v>
      </c>
      <c r="K66" t="s">
        <v>19</v>
      </c>
      <c r="L66" t="s">
        <v>20</v>
      </c>
    </row>
    <row r="67" spans="1:12" x14ac:dyDescent="0.3">
      <c r="A67" t="s">
        <v>236</v>
      </c>
      <c r="B67" t="s">
        <v>237</v>
      </c>
      <c r="C67" t="s">
        <v>238</v>
      </c>
      <c r="D67" t="s">
        <v>63</v>
      </c>
      <c r="E67" t="s">
        <v>64</v>
      </c>
      <c r="F67" t="s">
        <v>26</v>
      </c>
      <c r="G67">
        <v>1</v>
      </c>
      <c r="H67">
        <v>550</v>
      </c>
      <c r="I67">
        <v>550</v>
      </c>
      <c r="J67" t="s">
        <v>27</v>
      </c>
      <c r="K67" t="s">
        <v>55</v>
      </c>
      <c r="L67" t="s">
        <v>56</v>
      </c>
    </row>
    <row r="68" spans="1:12" x14ac:dyDescent="0.3">
      <c r="A68" t="s">
        <v>239</v>
      </c>
      <c r="B68" t="s">
        <v>240</v>
      </c>
      <c r="C68" t="s">
        <v>241</v>
      </c>
      <c r="D68" t="s">
        <v>143</v>
      </c>
      <c r="E68" t="s">
        <v>54</v>
      </c>
      <c r="F68" t="s">
        <v>17</v>
      </c>
      <c r="G68">
        <v>2</v>
      </c>
      <c r="H68">
        <v>150</v>
      </c>
      <c r="I68">
        <v>300</v>
      </c>
      <c r="J68" t="s">
        <v>72</v>
      </c>
      <c r="K68" t="s">
        <v>35</v>
      </c>
      <c r="L68" t="s">
        <v>41</v>
      </c>
    </row>
    <row r="69" spans="1:12" x14ac:dyDescent="0.3">
      <c r="A69" t="s">
        <v>242</v>
      </c>
      <c r="B69" t="s">
        <v>243</v>
      </c>
      <c r="C69" t="s">
        <v>244</v>
      </c>
      <c r="D69" t="s">
        <v>93</v>
      </c>
      <c r="E69" t="s">
        <v>64</v>
      </c>
      <c r="F69" t="s">
        <v>26</v>
      </c>
      <c r="G69">
        <v>2</v>
      </c>
      <c r="H69">
        <v>550</v>
      </c>
      <c r="I69">
        <v>1100</v>
      </c>
      <c r="J69" t="s">
        <v>72</v>
      </c>
      <c r="K69" t="s">
        <v>28</v>
      </c>
      <c r="L69" t="s">
        <v>20</v>
      </c>
    </row>
    <row r="70" spans="1:12" x14ac:dyDescent="0.3">
      <c r="A70" t="s">
        <v>245</v>
      </c>
      <c r="B70" t="s">
        <v>246</v>
      </c>
      <c r="C70" t="s">
        <v>247</v>
      </c>
      <c r="D70" t="s">
        <v>49</v>
      </c>
      <c r="E70" t="s">
        <v>104</v>
      </c>
      <c r="F70" t="s">
        <v>26</v>
      </c>
      <c r="G70">
        <v>6</v>
      </c>
      <c r="H70">
        <v>400</v>
      </c>
      <c r="I70">
        <v>2400</v>
      </c>
      <c r="J70" t="s">
        <v>50</v>
      </c>
      <c r="K70" t="s">
        <v>28</v>
      </c>
      <c r="L70" t="s">
        <v>20</v>
      </c>
    </row>
    <row r="71" spans="1:12" x14ac:dyDescent="0.3">
      <c r="A71" t="s">
        <v>248</v>
      </c>
      <c r="B71" t="s">
        <v>249</v>
      </c>
      <c r="C71" t="s">
        <v>250</v>
      </c>
      <c r="D71" t="s">
        <v>49</v>
      </c>
      <c r="E71" t="s">
        <v>54</v>
      </c>
      <c r="F71" t="s">
        <v>17</v>
      </c>
      <c r="G71">
        <v>5</v>
      </c>
      <c r="H71">
        <v>150</v>
      </c>
      <c r="I71">
        <v>750</v>
      </c>
      <c r="J71" t="s">
        <v>18</v>
      </c>
      <c r="K71" t="s">
        <v>76</v>
      </c>
      <c r="L71" t="s">
        <v>41</v>
      </c>
    </row>
    <row r="72" spans="1:12" x14ac:dyDescent="0.3">
      <c r="A72" t="s">
        <v>251</v>
      </c>
      <c r="B72" t="s">
        <v>252</v>
      </c>
      <c r="C72" t="s">
        <v>253</v>
      </c>
      <c r="D72" t="s">
        <v>32</v>
      </c>
      <c r="E72" t="s">
        <v>104</v>
      </c>
      <c r="F72" t="s">
        <v>26</v>
      </c>
      <c r="G72">
        <v>6</v>
      </c>
      <c r="H72">
        <v>400</v>
      </c>
      <c r="I72">
        <v>2400</v>
      </c>
      <c r="J72" t="s">
        <v>79</v>
      </c>
      <c r="K72" t="s">
        <v>76</v>
      </c>
      <c r="L72" t="s">
        <v>56</v>
      </c>
    </row>
    <row r="73" spans="1:12" x14ac:dyDescent="0.3">
      <c r="A73" t="s">
        <v>254</v>
      </c>
      <c r="B73" t="s">
        <v>255</v>
      </c>
      <c r="C73" t="s">
        <v>256</v>
      </c>
      <c r="D73" t="s">
        <v>49</v>
      </c>
      <c r="E73" t="s">
        <v>33</v>
      </c>
      <c r="F73" t="s">
        <v>34</v>
      </c>
      <c r="G73">
        <v>6</v>
      </c>
      <c r="H73">
        <v>90</v>
      </c>
      <c r="I73">
        <v>540</v>
      </c>
      <c r="J73" t="s">
        <v>40</v>
      </c>
      <c r="K73" t="s">
        <v>76</v>
      </c>
      <c r="L73" t="s">
        <v>56</v>
      </c>
    </row>
    <row r="74" spans="1:12" x14ac:dyDescent="0.3">
      <c r="A74" t="s">
        <v>257</v>
      </c>
      <c r="B74" t="s">
        <v>258</v>
      </c>
      <c r="C74" t="s">
        <v>259</v>
      </c>
      <c r="D74" t="s">
        <v>93</v>
      </c>
      <c r="E74" t="s">
        <v>25</v>
      </c>
      <c r="F74" t="s">
        <v>26</v>
      </c>
      <c r="G74">
        <v>2</v>
      </c>
      <c r="H74">
        <v>750</v>
      </c>
      <c r="I74">
        <v>1500</v>
      </c>
      <c r="J74" t="s">
        <v>72</v>
      </c>
      <c r="K74" t="s">
        <v>76</v>
      </c>
      <c r="L74" t="s">
        <v>56</v>
      </c>
    </row>
    <row r="75" spans="1:12" x14ac:dyDescent="0.3">
      <c r="A75" t="s">
        <v>260</v>
      </c>
      <c r="B75" t="s">
        <v>261</v>
      </c>
      <c r="C75" t="s">
        <v>262</v>
      </c>
      <c r="D75" t="s">
        <v>93</v>
      </c>
      <c r="E75" t="s">
        <v>64</v>
      </c>
      <c r="F75" t="s">
        <v>26</v>
      </c>
      <c r="G75">
        <v>5</v>
      </c>
      <c r="H75">
        <v>550</v>
      </c>
      <c r="I75">
        <v>2750</v>
      </c>
      <c r="J75" t="s">
        <v>79</v>
      </c>
      <c r="K75" t="s">
        <v>28</v>
      </c>
      <c r="L75" t="s">
        <v>20</v>
      </c>
    </row>
    <row r="76" spans="1:12" x14ac:dyDescent="0.3">
      <c r="A76" t="s">
        <v>263</v>
      </c>
      <c r="B76" t="s">
        <v>264</v>
      </c>
      <c r="C76" t="s">
        <v>265</v>
      </c>
      <c r="D76" t="s">
        <v>24</v>
      </c>
      <c r="E76" t="s">
        <v>64</v>
      </c>
      <c r="F76" t="s">
        <v>26</v>
      </c>
      <c r="G76">
        <v>1</v>
      </c>
      <c r="H76">
        <v>550</v>
      </c>
      <c r="I76">
        <v>550</v>
      </c>
      <c r="J76" t="s">
        <v>18</v>
      </c>
      <c r="K76" t="s">
        <v>76</v>
      </c>
      <c r="L76" t="s">
        <v>20</v>
      </c>
    </row>
    <row r="77" spans="1:12" x14ac:dyDescent="0.3">
      <c r="A77" t="s">
        <v>266</v>
      </c>
      <c r="B77" t="s">
        <v>267</v>
      </c>
      <c r="C77" t="s">
        <v>268</v>
      </c>
      <c r="D77" t="s">
        <v>15</v>
      </c>
      <c r="E77" t="s">
        <v>54</v>
      </c>
      <c r="F77" t="s">
        <v>17</v>
      </c>
      <c r="G77">
        <v>3</v>
      </c>
      <c r="H77">
        <v>150</v>
      </c>
      <c r="I77">
        <v>450</v>
      </c>
      <c r="J77" t="s">
        <v>27</v>
      </c>
      <c r="K77" t="s">
        <v>55</v>
      </c>
      <c r="L77" t="s">
        <v>41</v>
      </c>
    </row>
    <row r="78" spans="1:12" x14ac:dyDescent="0.3">
      <c r="A78" t="s">
        <v>269</v>
      </c>
      <c r="B78" t="s">
        <v>270</v>
      </c>
      <c r="C78" t="s">
        <v>271</v>
      </c>
      <c r="D78" t="s">
        <v>24</v>
      </c>
      <c r="E78" t="s">
        <v>64</v>
      </c>
      <c r="F78" t="s">
        <v>26</v>
      </c>
      <c r="G78">
        <v>4</v>
      </c>
      <c r="H78">
        <v>550</v>
      </c>
      <c r="I78">
        <v>2200</v>
      </c>
      <c r="J78" t="s">
        <v>72</v>
      </c>
      <c r="K78" t="s">
        <v>28</v>
      </c>
      <c r="L78" t="s">
        <v>56</v>
      </c>
    </row>
    <row r="79" spans="1:12" x14ac:dyDescent="0.3">
      <c r="A79" t="s">
        <v>272</v>
      </c>
      <c r="B79" t="s">
        <v>273</v>
      </c>
      <c r="C79" t="s">
        <v>274</v>
      </c>
      <c r="D79" t="s">
        <v>103</v>
      </c>
      <c r="E79" t="s">
        <v>104</v>
      </c>
      <c r="F79" t="s">
        <v>26</v>
      </c>
      <c r="G79">
        <v>5</v>
      </c>
      <c r="H79">
        <v>400</v>
      </c>
      <c r="I79">
        <v>2000</v>
      </c>
      <c r="J79" t="s">
        <v>50</v>
      </c>
      <c r="K79" t="s">
        <v>28</v>
      </c>
      <c r="L79" t="s">
        <v>56</v>
      </c>
    </row>
    <row r="80" spans="1:12" x14ac:dyDescent="0.3">
      <c r="A80" t="s">
        <v>275</v>
      </c>
      <c r="B80" t="s">
        <v>234</v>
      </c>
      <c r="C80" t="s">
        <v>276</v>
      </c>
      <c r="D80" t="s">
        <v>15</v>
      </c>
      <c r="E80" t="s">
        <v>33</v>
      </c>
      <c r="F80" t="s">
        <v>34</v>
      </c>
      <c r="G80">
        <v>5</v>
      </c>
      <c r="H80">
        <v>90</v>
      </c>
      <c r="I80">
        <v>450</v>
      </c>
      <c r="J80" t="s">
        <v>40</v>
      </c>
      <c r="K80" t="s">
        <v>55</v>
      </c>
      <c r="L80" t="s">
        <v>20</v>
      </c>
    </row>
    <row r="81" spans="1:12" x14ac:dyDescent="0.3">
      <c r="A81" t="s">
        <v>277</v>
      </c>
      <c r="B81" t="s">
        <v>278</v>
      </c>
      <c r="C81" t="s">
        <v>279</v>
      </c>
      <c r="D81" t="s">
        <v>39</v>
      </c>
      <c r="E81" t="s">
        <v>54</v>
      </c>
      <c r="F81" t="s">
        <v>17</v>
      </c>
      <c r="G81">
        <v>6</v>
      </c>
      <c r="H81">
        <v>150</v>
      </c>
      <c r="I81">
        <v>900</v>
      </c>
      <c r="J81" t="s">
        <v>27</v>
      </c>
      <c r="K81" t="s">
        <v>19</v>
      </c>
      <c r="L81" t="s">
        <v>56</v>
      </c>
    </row>
    <row r="82" spans="1:12" x14ac:dyDescent="0.3">
      <c r="A82" t="s">
        <v>280</v>
      </c>
      <c r="B82" t="s">
        <v>281</v>
      </c>
      <c r="C82" t="s">
        <v>282</v>
      </c>
      <c r="D82" t="s">
        <v>39</v>
      </c>
      <c r="E82" t="s">
        <v>16</v>
      </c>
      <c r="F82" t="s">
        <v>17</v>
      </c>
      <c r="G82">
        <v>4</v>
      </c>
      <c r="H82">
        <v>300</v>
      </c>
      <c r="I82">
        <v>1200</v>
      </c>
      <c r="J82" t="s">
        <v>40</v>
      </c>
      <c r="K82" t="s">
        <v>19</v>
      </c>
      <c r="L82" t="s">
        <v>20</v>
      </c>
    </row>
    <row r="83" spans="1:12" x14ac:dyDescent="0.3">
      <c r="A83" t="s">
        <v>283</v>
      </c>
      <c r="B83" t="s">
        <v>284</v>
      </c>
      <c r="C83" t="s">
        <v>285</v>
      </c>
      <c r="D83" t="s">
        <v>24</v>
      </c>
      <c r="E83" t="s">
        <v>54</v>
      </c>
      <c r="F83" t="s">
        <v>17</v>
      </c>
      <c r="G83">
        <v>3</v>
      </c>
      <c r="H83">
        <v>150</v>
      </c>
      <c r="I83">
        <v>450</v>
      </c>
      <c r="J83" t="s">
        <v>18</v>
      </c>
      <c r="K83" t="s">
        <v>35</v>
      </c>
      <c r="L83" t="s">
        <v>56</v>
      </c>
    </row>
    <row r="84" spans="1:12" x14ac:dyDescent="0.3">
      <c r="A84" t="s">
        <v>286</v>
      </c>
      <c r="B84" t="s">
        <v>287</v>
      </c>
      <c r="C84" t="s">
        <v>288</v>
      </c>
      <c r="D84" t="s">
        <v>63</v>
      </c>
      <c r="E84" t="s">
        <v>16</v>
      </c>
      <c r="F84" t="s">
        <v>17</v>
      </c>
      <c r="G84">
        <v>1</v>
      </c>
      <c r="H84">
        <v>300</v>
      </c>
      <c r="I84">
        <v>300</v>
      </c>
      <c r="J84" t="s">
        <v>79</v>
      </c>
      <c r="K84" t="s">
        <v>19</v>
      </c>
      <c r="L84" t="s">
        <v>41</v>
      </c>
    </row>
    <row r="85" spans="1:12" x14ac:dyDescent="0.3">
      <c r="A85" t="s">
        <v>289</v>
      </c>
      <c r="B85" t="s">
        <v>290</v>
      </c>
      <c r="C85" t="s">
        <v>291</v>
      </c>
      <c r="D85" t="s">
        <v>24</v>
      </c>
      <c r="E85" t="s">
        <v>25</v>
      </c>
      <c r="F85" t="s">
        <v>26</v>
      </c>
      <c r="G85">
        <v>2</v>
      </c>
      <c r="H85">
        <v>750</v>
      </c>
      <c r="I85">
        <v>1500</v>
      </c>
      <c r="J85" t="s">
        <v>72</v>
      </c>
      <c r="K85" t="s">
        <v>76</v>
      </c>
      <c r="L85" t="s">
        <v>41</v>
      </c>
    </row>
    <row r="86" spans="1:12" x14ac:dyDescent="0.3">
      <c r="A86" t="s">
        <v>292</v>
      </c>
      <c r="B86" t="s">
        <v>293</v>
      </c>
      <c r="C86" t="s">
        <v>294</v>
      </c>
      <c r="D86" t="s">
        <v>15</v>
      </c>
      <c r="E86" t="s">
        <v>64</v>
      </c>
      <c r="F86" t="s">
        <v>26</v>
      </c>
      <c r="G86">
        <v>3</v>
      </c>
      <c r="H86">
        <v>550</v>
      </c>
      <c r="I86">
        <v>1650</v>
      </c>
      <c r="J86" t="s">
        <v>40</v>
      </c>
      <c r="K86" t="s">
        <v>55</v>
      </c>
      <c r="L86" t="s">
        <v>20</v>
      </c>
    </row>
    <row r="87" spans="1:12" x14ac:dyDescent="0.3">
      <c r="A87" t="s">
        <v>295</v>
      </c>
      <c r="B87" t="s">
        <v>296</v>
      </c>
      <c r="C87" t="s">
        <v>297</v>
      </c>
      <c r="D87" t="s">
        <v>49</v>
      </c>
      <c r="E87" t="s">
        <v>64</v>
      </c>
      <c r="F87" t="s">
        <v>26</v>
      </c>
      <c r="G87">
        <v>2</v>
      </c>
      <c r="H87">
        <v>550</v>
      </c>
      <c r="I87">
        <v>1100</v>
      </c>
      <c r="J87" t="s">
        <v>79</v>
      </c>
      <c r="K87" t="s">
        <v>19</v>
      </c>
      <c r="L87" t="s">
        <v>56</v>
      </c>
    </row>
    <row r="88" spans="1:12" x14ac:dyDescent="0.3">
      <c r="A88" t="s">
        <v>298</v>
      </c>
      <c r="B88" t="s">
        <v>299</v>
      </c>
      <c r="C88" t="s">
        <v>300</v>
      </c>
      <c r="D88" t="s">
        <v>143</v>
      </c>
      <c r="E88" t="s">
        <v>25</v>
      </c>
      <c r="F88" t="s">
        <v>26</v>
      </c>
      <c r="G88">
        <v>1</v>
      </c>
      <c r="H88">
        <v>750</v>
      </c>
      <c r="I88">
        <v>750</v>
      </c>
      <c r="J88" t="s">
        <v>40</v>
      </c>
      <c r="K88" t="s">
        <v>76</v>
      </c>
      <c r="L88" t="s">
        <v>41</v>
      </c>
    </row>
    <row r="89" spans="1:12" x14ac:dyDescent="0.3">
      <c r="A89" t="s">
        <v>301</v>
      </c>
      <c r="B89" t="s">
        <v>69</v>
      </c>
      <c r="C89" t="s">
        <v>302</v>
      </c>
      <c r="D89" t="s">
        <v>45</v>
      </c>
      <c r="E89" t="s">
        <v>104</v>
      </c>
      <c r="F89" t="s">
        <v>26</v>
      </c>
      <c r="G89">
        <v>1</v>
      </c>
      <c r="H89">
        <v>400</v>
      </c>
      <c r="I89">
        <v>400</v>
      </c>
      <c r="J89" t="s">
        <v>79</v>
      </c>
      <c r="K89" t="s">
        <v>76</v>
      </c>
      <c r="L89" t="s">
        <v>41</v>
      </c>
    </row>
    <row r="90" spans="1:12" x14ac:dyDescent="0.3">
      <c r="A90" t="s">
        <v>303</v>
      </c>
      <c r="B90" t="s">
        <v>13</v>
      </c>
      <c r="C90" t="s">
        <v>304</v>
      </c>
      <c r="D90" t="s">
        <v>39</v>
      </c>
      <c r="E90" t="s">
        <v>64</v>
      </c>
      <c r="F90" t="s">
        <v>26</v>
      </c>
      <c r="G90">
        <v>6</v>
      </c>
      <c r="H90">
        <v>550</v>
      </c>
      <c r="I90">
        <v>3300</v>
      </c>
      <c r="J90" t="s">
        <v>79</v>
      </c>
      <c r="K90" t="s">
        <v>76</v>
      </c>
      <c r="L90" t="s">
        <v>20</v>
      </c>
    </row>
    <row r="91" spans="1:12" x14ac:dyDescent="0.3">
      <c r="A91" t="s">
        <v>305</v>
      </c>
      <c r="B91" t="s">
        <v>306</v>
      </c>
      <c r="C91" t="s">
        <v>307</v>
      </c>
      <c r="D91" t="s">
        <v>49</v>
      </c>
      <c r="E91" t="s">
        <v>64</v>
      </c>
      <c r="F91" t="s">
        <v>26</v>
      </c>
      <c r="G91">
        <v>3</v>
      </c>
      <c r="H91">
        <v>550</v>
      </c>
      <c r="I91">
        <v>1650</v>
      </c>
      <c r="J91" t="s">
        <v>18</v>
      </c>
      <c r="K91" t="s">
        <v>76</v>
      </c>
      <c r="L91" t="s">
        <v>20</v>
      </c>
    </row>
    <row r="92" spans="1:12" x14ac:dyDescent="0.3">
      <c r="A92" t="s">
        <v>308</v>
      </c>
      <c r="B92" t="s">
        <v>185</v>
      </c>
      <c r="C92" t="s">
        <v>309</v>
      </c>
      <c r="D92" t="s">
        <v>32</v>
      </c>
      <c r="E92" t="s">
        <v>33</v>
      </c>
      <c r="F92" t="s">
        <v>34</v>
      </c>
      <c r="G92">
        <v>1</v>
      </c>
      <c r="H92">
        <v>90</v>
      </c>
      <c r="I92">
        <v>90</v>
      </c>
      <c r="J92" t="s">
        <v>50</v>
      </c>
      <c r="K92" t="s">
        <v>28</v>
      </c>
      <c r="L92" t="s">
        <v>56</v>
      </c>
    </row>
    <row r="93" spans="1:12" x14ac:dyDescent="0.3">
      <c r="A93" t="s">
        <v>310</v>
      </c>
      <c r="B93" t="s">
        <v>311</v>
      </c>
      <c r="C93" t="s">
        <v>312</v>
      </c>
      <c r="D93" t="s">
        <v>32</v>
      </c>
      <c r="E93" t="s">
        <v>54</v>
      </c>
      <c r="F93" t="s">
        <v>17</v>
      </c>
      <c r="G93">
        <v>6</v>
      </c>
      <c r="H93">
        <v>150</v>
      </c>
      <c r="I93">
        <v>900</v>
      </c>
      <c r="J93" t="s">
        <v>72</v>
      </c>
      <c r="K93" t="s">
        <v>76</v>
      </c>
      <c r="L93" t="s">
        <v>41</v>
      </c>
    </row>
    <row r="94" spans="1:12" x14ac:dyDescent="0.3">
      <c r="A94" t="s">
        <v>313</v>
      </c>
      <c r="B94" t="s">
        <v>314</v>
      </c>
      <c r="C94" t="s">
        <v>315</v>
      </c>
      <c r="D94" t="s">
        <v>24</v>
      </c>
      <c r="E94" t="s">
        <v>16</v>
      </c>
      <c r="F94" t="s">
        <v>17</v>
      </c>
      <c r="G94">
        <v>3</v>
      </c>
      <c r="H94">
        <v>300</v>
      </c>
      <c r="I94">
        <v>900</v>
      </c>
      <c r="J94" t="s">
        <v>50</v>
      </c>
      <c r="K94" t="s">
        <v>35</v>
      </c>
      <c r="L94" t="s">
        <v>56</v>
      </c>
    </row>
    <row r="95" spans="1:12" x14ac:dyDescent="0.3">
      <c r="A95" t="s">
        <v>316</v>
      </c>
      <c r="B95" t="s">
        <v>317</v>
      </c>
      <c r="C95" t="s">
        <v>318</v>
      </c>
      <c r="D95" t="s">
        <v>15</v>
      </c>
      <c r="E95" t="s">
        <v>64</v>
      </c>
      <c r="F95" t="s">
        <v>26</v>
      </c>
      <c r="G95">
        <v>4</v>
      </c>
      <c r="H95">
        <v>550</v>
      </c>
      <c r="I95">
        <v>2200</v>
      </c>
      <c r="J95" t="s">
        <v>27</v>
      </c>
      <c r="K95" t="s">
        <v>76</v>
      </c>
      <c r="L95" t="s">
        <v>20</v>
      </c>
    </row>
    <row r="96" spans="1:12" x14ac:dyDescent="0.3">
      <c r="A96" t="s">
        <v>319</v>
      </c>
      <c r="B96" t="s">
        <v>317</v>
      </c>
      <c r="C96" t="s">
        <v>320</v>
      </c>
      <c r="D96" t="s">
        <v>71</v>
      </c>
      <c r="E96" t="s">
        <v>54</v>
      </c>
      <c r="F96" t="s">
        <v>17</v>
      </c>
      <c r="G96">
        <v>5</v>
      </c>
      <c r="H96">
        <v>150</v>
      </c>
      <c r="I96">
        <v>750</v>
      </c>
      <c r="J96" t="s">
        <v>18</v>
      </c>
      <c r="K96" t="s">
        <v>55</v>
      </c>
      <c r="L96" t="s">
        <v>20</v>
      </c>
    </row>
    <row r="97" spans="1:12" x14ac:dyDescent="0.3">
      <c r="A97" t="s">
        <v>321</v>
      </c>
      <c r="B97" t="s">
        <v>66</v>
      </c>
      <c r="C97" t="s">
        <v>322</v>
      </c>
      <c r="D97" t="s">
        <v>45</v>
      </c>
      <c r="E97" t="s">
        <v>104</v>
      </c>
      <c r="F97" t="s">
        <v>26</v>
      </c>
      <c r="G97">
        <v>1</v>
      </c>
      <c r="H97">
        <v>400</v>
      </c>
      <c r="I97">
        <v>400</v>
      </c>
      <c r="J97" t="s">
        <v>72</v>
      </c>
      <c r="K97" t="s">
        <v>28</v>
      </c>
      <c r="L97" t="s">
        <v>56</v>
      </c>
    </row>
    <row r="98" spans="1:12" x14ac:dyDescent="0.3">
      <c r="A98" t="s">
        <v>323</v>
      </c>
      <c r="B98" t="s">
        <v>314</v>
      </c>
      <c r="C98" t="s">
        <v>324</v>
      </c>
      <c r="D98" t="s">
        <v>45</v>
      </c>
      <c r="E98" t="s">
        <v>25</v>
      </c>
      <c r="F98" t="s">
        <v>26</v>
      </c>
      <c r="G98">
        <v>1</v>
      </c>
      <c r="H98">
        <v>750</v>
      </c>
      <c r="I98">
        <v>750</v>
      </c>
      <c r="J98" t="s">
        <v>72</v>
      </c>
      <c r="K98" t="s">
        <v>28</v>
      </c>
      <c r="L98" t="s">
        <v>56</v>
      </c>
    </row>
    <row r="99" spans="1:12" x14ac:dyDescent="0.3">
      <c r="A99" t="s">
        <v>325</v>
      </c>
      <c r="B99" t="s">
        <v>326</v>
      </c>
      <c r="C99" t="s">
        <v>327</v>
      </c>
      <c r="D99" t="s">
        <v>32</v>
      </c>
      <c r="E99" t="s">
        <v>16</v>
      </c>
      <c r="F99" t="s">
        <v>17</v>
      </c>
      <c r="G99">
        <v>3</v>
      </c>
      <c r="H99">
        <v>300</v>
      </c>
      <c r="I99">
        <v>900</v>
      </c>
      <c r="J99" t="s">
        <v>72</v>
      </c>
      <c r="K99" t="s">
        <v>28</v>
      </c>
      <c r="L99" t="s">
        <v>20</v>
      </c>
    </row>
    <row r="100" spans="1:12" x14ac:dyDescent="0.3">
      <c r="A100" t="s">
        <v>328</v>
      </c>
      <c r="B100" t="s">
        <v>209</v>
      </c>
      <c r="C100" t="s">
        <v>329</v>
      </c>
      <c r="D100" t="s">
        <v>45</v>
      </c>
      <c r="E100" t="s">
        <v>54</v>
      </c>
      <c r="F100" t="s">
        <v>17</v>
      </c>
      <c r="G100">
        <v>3</v>
      </c>
      <c r="H100">
        <v>150</v>
      </c>
      <c r="I100">
        <v>450</v>
      </c>
      <c r="J100" t="s">
        <v>72</v>
      </c>
      <c r="K100" t="s">
        <v>28</v>
      </c>
      <c r="L100" t="s">
        <v>41</v>
      </c>
    </row>
    <row r="101" spans="1:12" x14ac:dyDescent="0.3">
      <c r="A101" t="s">
        <v>330</v>
      </c>
      <c r="B101" t="s">
        <v>331</v>
      </c>
      <c r="C101" t="s">
        <v>332</v>
      </c>
      <c r="D101" t="s">
        <v>103</v>
      </c>
      <c r="E101" t="s">
        <v>54</v>
      </c>
      <c r="F101" t="s">
        <v>17</v>
      </c>
      <c r="G101">
        <v>5</v>
      </c>
      <c r="H101">
        <v>150</v>
      </c>
      <c r="I101">
        <v>750</v>
      </c>
      <c r="J101" t="s">
        <v>40</v>
      </c>
      <c r="K101" t="s">
        <v>28</v>
      </c>
      <c r="L101" t="s">
        <v>20</v>
      </c>
    </row>
    <row r="102" spans="1:12" x14ac:dyDescent="0.3">
      <c r="A102" t="s">
        <v>333</v>
      </c>
      <c r="B102" t="s">
        <v>334</v>
      </c>
      <c r="C102" t="s">
        <v>335</v>
      </c>
      <c r="D102" t="s">
        <v>63</v>
      </c>
      <c r="E102" t="s">
        <v>54</v>
      </c>
      <c r="F102" t="s">
        <v>17</v>
      </c>
      <c r="G102">
        <v>1</v>
      </c>
      <c r="H102">
        <v>150</v>
      </c>
      <c r="I102">
        <v>150</v>
      </c>
      <c r="J102" t="s">
        <v>18</v>
      </c>
      <c r="K102" t="s">
        <v>35</v>
      </c>
      <c r="L102" t="s">
        <v>56</v>
      </c>
    </row>
    <row r="103" spans="1:12" x14ac:dyDescent="0.3">
      <c r="A103" t="s">
        <v>336</v>
      </c>
      <c r="B103" t="s">
        <v>337</v>
      </c>
      <c r="C103" t="s">
        <v>338</v>
      </c>
      <c r="D103" t="s">
        <v>63</v>
      </c>
      <c r="E103" t="s">
        <v>25</v>
      </c>
      <c r="F103" t="s">
        <v>26</v>
      </c>
      <c r="G103">
        <v>4</v>
      </c>
      <c r="H103">
        <v>750</v>
      </c>
      <c r="I103">
        <v>3000</v>
      </c>
      <c r="J103" t="s">
        <v>79</v>
      </c>
      <c r="K103" t="s">
        <v>19</v>
      </c>
      <c r="L103" t="s">
        <v>56</v>
      </c>
    </row>
    <row r="104" spans="1:12" x14ac:dyDescent="0.3">
      <c r="A104" t="s">
        <v>339</v>
      </c>
      <c r="B104" t="s">
        <v>340</v>
      </c>
      <c r="C104" t="s">
        <v>341</v>
      </c>
      <c r="D104" t="s">
        <v>103</v>
      </c>
      <c r="E104" t="s">
        <v>16</v>
      </c>
      <c r="F104" t="s">
        <v>17</v>
      </c>
      <c r="G104">
        <v>2</v>
      </c>
      <c r="H104">
        <v>300</v>
      </c>
      <c r="I104">
        <v>600</v>
      </c>
      <c r="J104" t="s">
        <v>18</v>
      </c>
      <c r="K104" t="s">
        <v>55</v>
      </c>
      <c r="L104" t="s">
        <v>41</v>
      </c>
    </row>
    <row r="105" spans="1:12" x14ac:dyDescent="0.3">
      <c r="A105" t="s">
        <v>342</v>
      </c>
      <c r="B105" t="s">
        <v>343</v>
      </c>
      <c r="C105" t="s">
        <v>344</v>
      </c>
      <c r="D105" t="s">
        <v>32</v>
      </c>
      <c r="E105" t="s">
        <v>104</v>
      </c>
      <c r="F105" t="s">
        <v>26</v>
      </c>
      <c r="G105">
        <v>6</v>
      </c>
      <c r="H105">
        <v>400</v>
      </c>
      <c r="I105">
        <v>2400</v>
      </c>
      <c r="J105" t="s">
        <v>27</v>
      </c>
      <c r="K105" t="s">
        <v>19</v>
      </c>
      <c r="L105" t="s">
        <v>20</v>
      </c>
    </row>
    <row r="106" spans="1:12" x14ac:dyDescent="0.3">
      <c r="A106" t="s">
        <v>345</v>
      </c>
      <c r="B106" t="s">
        <v>346</v>
      </c>
      <c r="C106" t="s">
        <v>347</v>
      </c>
      <c r="D106" t="s">
        <v>39</v>
      </c>
      <c r="E106" t="s">
        <v>104</v>
      </c>
      <c r="F106" t="s">
        <v>26</v>
      </c>
      <c r="G106">
        <v>6</v>
      </c>
      <c r="H106">
        <v>400</v>
      </c>
      <c r="I106">
        <v>2400</v>
      </c>
      <c r="J106" t="s">
        <v>18</v>
      </c>
      <c r="K106" t="s">
        <v>76</v>
      </c>
      <c r="L106" t="s">
        <v>56</v>
      </c>
    </row>
    <row r="107" spans="1:12" x14ac:dyDescent="0.3">
      <c r="A107" t="s">
        <v>348</v>
      </c>
      <c r="B107" t="s">
        <v>349</v>
      </c>
      <c r="C107" t="s">
        <v>350</v>
      </c>
      <c r="D107" t="s">
        <v>71</v>
      </c>
      <c r="E107" t="s">
        <v>104</v>
      </c>
      <c r="F107" t="s">
        <v>26</v>
      </c>
      <c r="G107">
        <v>6</v>
      </c>
      <c r="H107">
        <v>400</v>
      </c>
      <c r="I107">
        <v>2400</v>
      </c>
      <c r="J107" t="s">
        <v>27</v>
      </c>
      <c r="K107" t="s">
        <v>55</v>
      </c>
      <c r="L107" t="s">
        <v>56</v>
      </c>
    </row>
    <row r="108" spans="1:12" x14ac:dyDescent="0.3">
      <c r="A108" t="s">
        <v>351</v>
      </c>
      <c r="B108" t="s">
        <v>352</v>
      </c>
      <c r="C108" t="s">
        <v>353</v>
      </c>
      <c r="D108" t="s">
        <v>39</v>
      </c>
      <c r="E108" t="s">
        <v>54</v>
      </c>
      <c r="F108" t="s">
        <v>17</v>
      </c>
      <c r="G108">
        <v>1</v>
      </c>
      <c r="H108">
        <v>150</v>
      </c>
      <c r="I108">
        <v>150</v>
      </c>
      <c r="J108" t="s">
        <v>18</v>
      </c>
      <c r="K108" t="s">
        <v>35</v>
      </c>
      <c r="L108" t="s">
        <v>41</v>
      </c>
    </row>
    <row r="109" spans="1:12" x14ac:dyDescent="0.3">
      <c r="A109" t="s">
        <v>354</v>
      </c>
      <c r="B109" t="s">
        <v>219</v>
      </c>
      <c r="C109" t="s">
        <v>355</v>
      </c>
      <c r="D109" t="s">
        <v>32</v>
      </c>
      <c r="E109" t="s">
        <v>25</v>
      </c>
      <c r="F109" t="s">
        <v>26</v>
      </c>
      <c r="G109">
        <v>2</v>
      </c>
      <c r="H109">
        <v>750</v>
      </c>
      <c r="I109">
        <v>1500</v>
      </c>
      <c r="J109" t="s">
        <v>79</v>
      </c>
      <c r="K109" t="s">
        <v>35</v>
      </c>
      <c r="L109" t="s">
        <v>56</v>
      </c>
    </row>
    <row r="110" spans="1:12" x14ac:dyDescent="0.3">
      <c r="A110" t="s">
        <v>356</v>
      </c>
      <c r="B110" t="s">
        <v>357</v>
      </c>
      <c r="C110" t="s">
        <v>358</v>
      </c>
      <c r="D110" t="s">
        <v>24</v>
      </c>
      <c r="E110" t="s">
        <v>104</v>
      </c>
      <c r="F110" t="s">
        <v>26</v>
      </c>
      <c r="G110">
        <v>2</v>
      </c>
      <c r="H110">
        <v>400</v>
      </c>
      <c r="I110">
        <v>800</v>
      </c>
      <c r="J110" t="s">
        <v>50</v>
      </c>
      <c r="K110" t="s">
        <v>19</v>
      </c>
      <c r="L110" t="s">
        <v>20</v>
      </c>
    </row>
    <row r="111" spans="1:12" x14ac:dyDescent="0.3">
      <c r="A111" t="s">
        <v>359</v>
      </c>
      <c r="B111" t="s">
        <v>360</v>
      </c>
      <c r="C111" t="s">
        <v>361</v>
      </c>
      <c r="D111" t="s">
        <v>49</v>
      </c>
      <c r="E111" t="s">
        <v>104</v>
      </c>
      <c r="F111" t="s">
        <v>26</v>
      </c>
      <c r="G111">
        <v>5</v>
      </c>
      <c r="H111">
        <v>400</v>
      </c>
      <c r="I111">
        <v>2000</v>
      </c>
      <c r="J111" t="s">
        <v>27</v>
      </c>
      <c r="K111" t="s">
        <v>19</v>
      </c>
      <c r="L111" t="s">
        <v>41</v>
      </c>
    </row>
    <row r="112" spans="1:12" x14ac:dyDescent="0.3">
      <c r="A112" t="s">
        <v>362</v>
      </c>
      <c r="B112" t="s">
        <v>363</v>
      </c>
      <c r="C112" t="s">
        <v>364</v>
      </c>
      <c r="D112" t="s">
        <v>49</v>
      </c>
      <c r="E112" t="s">
        <v>25</v>
      </c>
      <c r="F112" t="s">
        <v>26</v>
      </c>
      <c r="G112">
        <v>1</v>
      </c>
      <c r="H112">
        <v>750</v>
      </c>
      <c r="I112">
        <v>750</v>
      </c>
      <c r="J112" t="s">
        <v>50</v>
      </c>
      <c r="K112" t="s">
        <v>35</v>
      </c>
      <c r="L112" t="s">
        <v>41</v>
      </c>
    </row>
    <row r="113" spans="1:12" x14ac:dyDescent="0.3">
      <c r="A113" t="s">
        <v>365</v>
      </c>
      <c r="B113" t="s">
        <v>366</v>
      </c>
      <c r="C113" t="s">
        <v>367</v>
      </c>
      <c r="D113" t="s">
        <v>32</v>
      </c>
      <c r="E113" t="s">
        <v>64</v>
      </c>
      <c r="F113" t="s">
        <v>26</v>
      </c>
      <c r="G113">
        <v>2</v>
      </c>
      <c r="H113">
        <v>550</v>
      </c>
      <c r="I113">
        <v>1100</v>
      </c>
      <c r="J113" t="s">
        <v>18</v>
      </c>
      <c r="K113" t="s">
        <v>19</v>
      </c>
      <c r="L113" t="s">
        <v>41</v>
      </c>
    </row>
    <row r="114" spans="1:12" x14ac:dyDescent="0.3">
      <c r="A114" t="s">
        <v>368</v>
      </c>
      <c r="B114" t="s">
        <v>115</v>
      </c>
      <c r="C114" t="s">
        <v>369</v>
      </c>
      <c r="D114" t="s">
        <v>15</v>
      </c>
      <c r="E114" t="s">
        <v>25</v>
      </c>
      <c r="F114" t="s">
        <v>26</v>
      </c>
      <c r="G114">
        <v>4</v>
      </c>
      <c r="H114">
        <v>750</v>
      </c>
      <c r="I114">
        <v>3000</v>
      </c>
      <c r="J114" t="s">
        <v>27</v>
      </c>
      <c r="K114" t="s">
        <v>35</v>
      </c>
      <c r="L114" t="s">
        <v>41</v>
      </c>
    </row>
    <row r="115" spans="1:12" x14ac:dyDescent="0.3">
      <c r="A115" t="s">
        <v>370</v>
      </c>
      <c r="B115" t="s">
        <v>371</v>
      </c>
      <c r="C115" t="s">
        <v>372</v>
      </c>
      <c r="D115" t="s">
        <v>93</v>
      </c>
      <c r="E115" t="s">
        <v>54</v>
      </c>
      <c r="F115" t="s">
        <v>17</v>
      </c>
      <c r="G115">
        <v>6</v>
      </c>
      <c r="H115">
        <v>150</v>
      </c>
      <c r="I115">
        <v>900</v>
      </c>
      <c r="J115" t="s">
        <v>50</v>
      </c>
      <c r="K115" t="s">
        <v>76</v>
      </c>
      <c r="L115" t="s">
        <v>56</v>
      </c>
    </row>
    <row r="116" spans="1:12" x14ac:dyDescent="0.3">
      <c r="A116" t="s">
        <v>373</v>
      </c>
      <c r="B116" t="s">
        <v>374</v>
      </c>
      <c r="C116" t="s">
        <v>375</v>
      </c>
      <c r="D116" t="s">
        <v>63</v>
      </c>
      <c r="E116" t="s">
        <v>25</v>
      </c>
      <c r="F116" t="s">
        <v>26</v>
      </c>
      <c r="G116">
        <v>1</v>
      </c>
      <c r="H116">
        <v>750</v>
      </c>
      <c r="I116">
        <v>750</v>
      </c>
      <c r="J116" t="s">
        <v>27</v>
      </c>
      <c r="K116" t="s">
        <v>28</v>
      </c>
      <c r="L116" t="s">
        <v>41</v>
      </c>
    </row>
    <row r="117" spans="1:12" x14ac:dyDescent="0.3">
      <c r="A117" t="s">
        <v>376</v>
      </c>
      <c r="B117" t="s">
        <v>243</v>
      </c>
      <c r="C117" t="s">
        <v>377</v>
      </c>
      <c r="D117" t="s">
        <v>32</v>
      </c>
      <c r="E117" t="s">
        <v>16</v>
      </c>
      <c r="F117" t="s">
        <v>17</v>
      </c>
      <c r="G117">
        <v>4</v>
      </c>
      <c r="H117">
        <v>300</v>
      </c>
      <c r="I117">
        <v>1200</v>
      </c>
      <c r="J117" t="s">
        <v>40</v>
      </c>
      <c r="K117" t="s">
        <v>76</v>
      </c>
      <c r="L117" t="s">
        <v>56</v>
      </c>
    </row>
    <row r="118" spans="1:12" x14ac:dyDescent="0.3">
      <c r="A118" t="s">
        <v>378</v>
      </c>
      <c r="B118" t="s">
        <v>379</v>
      </c>
      <c r="C118" t="s">
        <v>380</v>
      </c>
      <c r="D118" t="s">
        <v>45</v>
      </c>
      <c r="E118" t="s">
        <v>16</v>
      </c>
      <c r="F118" t="s">
        <v>17</v>
      </c>
      <c r="G118">
        <v>4</v>
      </c>
      <c r="H118">
        <v>300</v>
      </c>
      <c r="I118">
        <v>1200</v>
      </c>
      <c r="J118" t="s">
        <v>50</v>
      </c>
      <c r="K118" t="s">
        <v>35</v>
      </c>
      <c r="L118" t="s">
        <v>41</v>
      </c>
    </row>
    <row r="119" spans="1:12" x14ac:dyDescent="0.3">
      <c r="A119" t="s">
        <v>381</v>
      </c>
      <c r="B119" t="s">
        <v>163</v>
      </c>
      <c r="C119" t="s">
        <v>382</v>
      </c>
      <c r="D119" t="s">
        <v>24</v>
      </c>
      <c r="E119" t="s">
        <v>16</v>
      </c>
      <c r="F119" t="s">
        <v>17</v>
      </c>
      <c r="G119">
        <v>2</v>
      </c>
      <c r="H119">
        <v>300</v>
      </c>
      <c r="I119">
        <v>600</v>
      </c>
      <c r="J119" t="s">
        <v>72</v>
      </c>
      <c r="K119" t="s">
        <v>55</v>
      </c>
      <c r="L119" t="s">
        <v>20</v>
      </c>
    </row>
    <row r="120" spans="1:12" x14ac:dyDescent="0.3">
      <c r="A120" t="s">
        <v>383</v>
      </c>
      <c r="B120" t="s">
        <v>384</v>
      </c>
      <c r="C120" t="s">
        <v>385</v>
      </c>
      <c r="D120" t="s">
        <v>39</v>
      </c>
      <c r="E120" t="s">
        <v>104</v>
      </c>
      <c r="F120" t="s">
        <v>26</v>
      </c>
      <c r="G120">
        <v>5</v>
      </c>
      <c r="H120">
        <v>400</v>
      </c>
      <c r="I120">
        <v>2000</v>
      </c>
      <c r="J120" t="s">
        <v>72</v>
      </c>
      <c r="K120" t="s">
        <v>19</v>
      </c>
      <c r="L120" t="s">
        <v>41</v>
      </c>
    </row>
    <row r="121" spans="1:12" x14ac:dyDescent="0.3">
      <c r="A121" t="s">
        <v>386</v>
      </c>
      <c r="B121" t="s">
        <v>387</v>
      </c>
      <c r="C121" t="s">
        <v>388</v>
      </c>
      <c r="D121" t="s">
        <v>45</v>
      </c>
      <c r="E121" t="s">
        <v>33</v>
      </c>
      <c r="F121" t="s">
        <v>34</v>
      </c>
      <c r="G121">
        <v>3</v>
      </c>
      <c r="H121">
        <v>90</v>
      </c>
      <c r="I121">
        <v>270</v>
      </c>
      <c r="J121" t="s">
        <v>27</v>
      </c>
      <c r="K121" t="s">
        <v>28</v>
      </c>
      <c r="L121" t="s">
        <v>56</v>
      </c>
    </row>
    <row r="122" spans="1:12" x14ac:dyDescent="0.3">
      <c r="A122" t="s">
        <v>389</v>
      </c>
      <c r="B122" t="s">
        <v>390</v>
      </c>
      <c r="C122" t="s">
        <v>198</v>
      </c>
      <c r="D122" t="s">
        <v>15</v>
      </c>
      <c r="E122" t="s">
        <v>25</v>
      </c>
      <c r="F122" t="s">
        <v>26</v>
      </c>
      <c r="G122">
        <v>5</v>
      </c>
      <c r="H122">
        <v>750</v>
      </c>
      <c r="I122">
        <v>3750</v>
      </c>
      <c r="J122" t="s">
        <v>72</v>
      </c>
      <c r="K122" t="s">
        <v>28</v>
      </c>
      <c r="L122" t="s">
        <v>56</v>
      </c>
    </row>
    <row r="123" spans="1:12" x14ac:dyDescent="0.3">
      <c r="A123" t="s">
        <v>391</v>
      </c>
      <c r="B123" t="s">
        <v>222</v>
      </c>
      <c r="C123" t="s">
        <v>392</v>
      </c>
      <c r="D123" t="s">
        <v>32</v>
      </c>
      <c r="E123" t="s">
        <v>25</v>
      </c>
      <c r="F123" t="s">
        <v>26</v>
      </c>
      <c r="G123">
        <v>1</v>
      </c>
      <c r="H123">
        <v>750</v>
      </c>
      <c r="I123">
        <v>750</v>
      </c>
      <c r="J123" t="s">
        <v>18</v>
      </c>
      <c r="K123" t="s">
        <v>76</v>
      </c>
      <c r="L123" t="s">
        <v>41</v>
      </c>
    </row>
    <row r="124" spans="1:12" x14ac:dyDescent="0.3">
      <c r="A124" t="s">
        <v>393</v>
      </c>
      <c r="B124" t="s">
        <v>394</v>
      </c>
      <c r="C124" t="s">
        <v>395</v>
      </c>
      <c r="D124" t="s">
        <v>63</v>
      </c>
      <c r="E124" t="s">
        <v>16</v>
      </c>
      <c r="F124" t="s">
        <v>17</v>
      </c>
      <c r="G124">
        <v>4</v>
      </c>
      <c r="H124">
        <v>300</v>
      </c>
      <c r="I124">
        <v>1200</v>
      </c>
      <c r="J124" t="s">
        <v>50</v>
      </c>
      <c r="K124" t="s">
        <v>19</v>
      </c>
      <c r="L124" t="s">
        <v>41</v>
      </c>
    </row>
    <row r="125" spans="1:12" x14ac:dyDescent="0.3">
      <c r="A125" t="s">
        <v>396</v>
      </c>
      <c r="B125" t="s">
        <v>343</v>
      </c>
      <c r="C125" t="s">
        <v>397</v>
      </c>
      <c r="D125" t="s">
        <v>32</v>
      </c>
      <c r="E125" t="s">
        <v>54</v>
      </c>
      <c r="F125" t="s">
        <v>17</v>
      </c>
      <c r="G125">
        <v>3</v>
      </c>
      <c r="H125">
        <v>150</v>
      </c>
      <c r="I125">
        <v>450</v>
      </c>
      <c r="J125" t="s">
        <v>27</v>
      </c>
      <c r="K125" t="s">
        <v>55</v>
      </c>
      <c r="L125" t="s">
        <v>56</v>
      </c>
    </row>
    <row r="126" spans="1:12" x14ac:dyDescent="0.3">
      <c r="A126" t="s">
        <v>398</v>
      </c>
      <c r="B126" t="s">
        <v>278</v>
      </c>
      <c r="C126" t="s">
        <v>399</v>
      </c>
      <c r="D126" t="s">
        <v>39</v>
      </c>
      <c r="E126" t="s">
        <v>25</v>
      </c>
      <c r="F126" t="s">
        <v>26</v>
      </c>
      <c r="G126">
        <v>2</v>
      </c>
      <c r="H126">
        <v>750</v>
      </c>
      <c r="I126">
        <v>1500</v>
      </c>
      <c r="J126" t="s">
        <v>79</v>
      </c>
      <c r="K126" t="s">
        <v>55</v>
      </c>
      <c r="L126" t="s">
        <v>41</v>
      </c>
    </row>
    <row r="127" spans="1:12" x14ac:dyDescent="0.3">
      <c r="A127" t="s">
        <v>400</v>
      </c>
      <c r="B127" t="s">
        <v>145</v>
      </c>
      <c r="C127" t="s">
        <v>401</v>
      </c>
      <c r="D127" t="s">
        <v>49</v>
      </c>
      <c r="E127" t="s">
        <v>64</v>
      </c>
      <c r="F127" t="s">
        <v>26</v>
      </c>
      <c r="G127">
        <v>6</v>
      </c>
      <c r="H127">
        <v>550</v>
      </c>
      <c r="I127">
        <v>3300</v>
      </c>
      <c r="J127" t="s">
        <v>27</v>
      </c>
      <c r="K127" t="s">
        <v>19</v>
      </c>
      <c r="L127" t="s">
        <v>20</v>
      </c>
    </row>
    <row r="128" spans="1:12" x14ac:dyDescent="0.3">
      <c r="A128" t="s">
        <v>402</v>
      </c>
      <c r="B128" t="s">
        <v>403</v>
      </c>
      <c r="C128" t="s">
        <v>404</v>
      </c>
      <c r="D128" t="s">
        <v>24</v>
      </c>
      <c r="E128" t="s">
        <v>33</v>
      </c>
      <c r="F128" t="s">
        <v>34</v>
      </c>
      <c r="G128">
        <v>5</v>
      </c>
      <c r="H128">
        <v>90</v>
      </c>
      <c r="I128">
        <v>450</v>
      </c>
      <c r="J128" t="s">
        <v>40</v>
      </c>
      <c r="K128" t="s">
        <v>55</v>
      </c>
      <c r="L128" t="s">
        <v>41</v>
      </c>
    </row>
    <row r="129" spans="1:12" x14ac:dyDescent="0.3">
      <c r="A129" t="s">
        <v>405</v>
      </c>
      <c r="B129" t="s">
        <v>406</v>
      </c>
      <c r="C129" t="s">
        <v>407</v>
      </c>
      <c r="D129" t="s">
        <v>49</v>
      </c>
      <c r="E129" t="s">
        <v>25</v>
      </c>
      <c r="F129" t="s">
        <v>26</v>
      </c>
      <c r="G129">
        <v>1</v>
      </c>
      <c r="H129">
        <v>750</v>
      </c>
      <c r="I129">
        <v>750</v>
      </c>
      <c r="J129" t="s">
        <v>79</v>
      </c>
      <c r="K129" t="s">
        <v>76</v>
      </c>
      <c r="L129" t="s">
        <v>41</v>
      </c>
    </row>
    <row r="130" spans="1:12" x14ac:dyDescent="0.3">
      <c r="A130" t="s">
        <v>408</v>
      </c>
      <c r="B130" t="s">
        <v>331</v>
      </c>
      <c r="C130" t="s">
        <v>409</v>
      </c>
      <c r="D130" t="s">
        <v>63</v>
      </c>
      <c r="E130" t="s">
        <v>33</v>
      </c>
      <c r="F130" t="s">
        <v>34</v>
      </c>
      <c r="G130">
        <v>1</v>
      </c>
      <c r="H130">
        <v>90</v>
      </c>
      <c r="I130">
        <v>90</v>
      </c>
      <c r="J130" t="s">
        <v>18</v>
      </c>
      <c r="K130" t="s">
        <v>35</v>
      </c>
      <c r="L130" t="s">
        <v>20</v>
      </c>
    </row>
    <row r="131" spans="1:12" x14ac:dyDescent="0.3">
      <c r="A131" t="s">
        <v>410</v>
      </c>
      <c r="B131" t="s">
        <v>109</v>
      </c>
      <c r="C131" t="s">
        <v>411</v>
      </c>
      <c r="D131" t="s">
        <v>93</v>
      </c>
      <c r="E131" t="s">
        <v>64</v>
      </c>
      <c r="F131" t="s">
        <v>26</v>
      </c>
      <c r="G131">
        <v>1</v>
      </c>
      <c r="H131">
        <v>550</v>
      </c>
      <c r="I131">
        <v>550</v>
      </c>
      <c r="J131" t="s">
        <v>27</v>
      </c>
      <c r="K131" t="s">
        <v>35</v>
      </c>
      <c r="L131" t="s">
        <v>56</v>
      </c>
    </row>
    <row r="132" spans="1:12" x14ac:dyDescent="0.3">
      <c r="A132" t="s">
        <v>412</v>
      </c>
      <c r="B132" t="s">
        <v>413</v>
      </c>
      <c r="C132" t="s">
        <v>414</v>
      </c>
      <c r="D132" t="s">
        <v>45</v>
      </c>
      <c r="E132" t="s">
        <v>25</v>
      </c>
      <c r="F132" t="s">
        <v>26</v>
      </c>
      <c r="G132">
        <v>6</v>
      </c>
      <c r="H132">
        <v>750</v>
      </c>
      <c r="I132">
        <v>4500</v>
      </c>
      <c r="J132" t="s">
        <v>18</v>
      </c>
      <c r="K132" t="s">
        <v>19</v>
      </c>
      <c r="L132" t="s">
        <v>20</v>
      </c>
    </row>
    <row r="133" spans="1:12" x14ac:dyDescent="0.3">
      <c r="A133" t="s">
        <v>415</v>
      </c>
      <c r="B133" t="s">
        <v>416</v>
      </c>
      <c r="C133" t="s">
        <v>417</v>
      </c>
      <c r="D133" t="s">
        <v>83</v>
      </c>
      <c r="E133" t="s">
        <v>33</v>
      </c>
      <c r="F133" t="s">
        <v>34</v>
      </c>
      <c r="G133">
        <v>4</v>
      </c>
      <c r="H133">
        <v>90</v>
      </c>
      <c r="I133">
        <v>360</v>
      </c>
      <c r="J133" t="s">
        <v>72</v>
      </c>
      <c r="K133" t="s">
        <v>28</v>
      </c>
      <c r="L133" t="s">
        <v>41</v>
      </c>
    </row>
    <row r="134" spans="1:12" x14ac:dyDescent="0.3">
      <c r="A134" t="s">
        <v>418</v>
      </c>
      <c r="B134" t="s">
        <v>419</v>
      </c>
      <c r="C134" t="s">
        <v>420</v>
      </c>
      <c r="D134" t="s">
        <v>143</v>
      </c>
      <c r="E134" t="s">
        <v>33</v>
      </c>
      <c r="F134" t="s">
        <v>34</v>
      </c>
      <c r="G134">
        <v>3</v>
      </c>
      <c r="H134">
        <v>90</v>
      </c>
      <c r="I134">
        <v>270</v>
      </c>
      <c r="J134" t="s">
        <v>79</v>
      </c>
      <c r="K134" t="s">
        <v>55</v>
      </c>
      <c r="L134" t="s">
        <v>56</v>
      </c>
    </row>
    <row r="135" spans="1:12" x14ac:dyDescent="0.3">
      <c r="A135" t="s">
        <v>421</v>
      </c>
      <c r="B135" t="s">
        <v>422</v>
      </c>
      <c r="C135" t="s">
        <v>423</v>
      </c>
      <c r="D135" t="s">
        <v>45</v>
      </c>
      <c r="E135" t="s">
        <v>33</v>
      </c>
      <c r="F135" t="s">
        <v>34</v>
      </c>
      <c r="G135">
        <v>6</v>
      </c>
      <c r="H135">
        <v>90</v>
      </c>
      <c r="I135">
        <v>540</v>
      </c>
      <c r="J135" t="s">
        <v>50</v>
      </c>
      <c r="K135" t="s">
        <v>35</v>
      </c>
      <c r="L135" t="s">
        <v>20</v>
      </c>
    </row>
    <row r="136" spans="1:12" x14ac:dyDescent="0.3">
      <c r="A136" t="s">
        <v>424</v>
      </c>
      <c r="B136" t="s">
        <v>154</v>
      </c>
      <c r="C136" t="s">
        <v>425</v>
      </c>
      <c r="D136" t="s">
        <v>15</v>
      </c>
      <c r="E136" t="s">
        <v>104</v>
      </c>
      <c r="F136" t="s">
        <v>26</v>
      </c>
      <c r="G136">
        <v>1</v>
      </c>
      <c r="H136">
        <v>400</v>
      </c>
      <c r="I136">
        <v>400</v>
      </c>
      <c r="J136" t="s">
        <v>50</v>
      </c>
      <c r="K136" t="s">
        <v>35</v>
      </c>
      <c r="L136" t="s">
        <v>56</v>
      </c>
    </row>
    <row r="137" spans="1:12" x14ac:dyDescent="0.3">
      <c r="A137" t="s">
        <v>426</v>
      </c>
      <c r="B137" t="s">
        <v>427</v>
      </c>
      <c r="C137" t="s">
        <v>428</v>
      </c>
      <c r="D137" t="s">
        <v>15</v>
      </c>
      <c r="E137" t="s">
        <v>64</v>
      </c>
      <c r="F137" t="s">
        <v>26</v>
      </c>
      <c r="G137">
        <v>5</v>
      </c>
      <c r="H137">
        <v>550</v>
      </c>
      <c r="I137">
        <v>2750</v>
      </c>
      <c r="J137" t="s">
        <v>79</v>
      </c>
      <c r="K137" t="s">
        <v>28</v>
      </c>
      <c r="L137" t="s">
        <v>41</v>
      </c>
    </row>
    <row r="138" spans="1:12" x14ac:dyDescent="0.3">
      <c r="A138" t="s">
        <v>429</v>
      </c>
      <c r="B138" t="s">
        <v>430</v>
      </c>
      <c r="C138" t="s">
        <v>431</v>
      </c>
      <c r="D138" t="s">
        <v>24</v>
      </c>
      <c r="E138" t="s">
        <v>16</v>
      </c>
      <c r="F138" t="s">
        <v>17</v>
      </c>
      <c r="G138">
        <v>6</v>
      </c>
      <c r="H138">
        <v>300</v>
      </c>
      <c r="I138">
        <v>1800</v>
      </c>
      <c r="J138" t="s">
        <v>72</v>
      </c>
      <c r="K138" t="s">
        <v>76</v>
      </c>
      <c r="L138" t="s">
        <v>41</v>
      </c>
    </row>
    <row r="139" spans="1:12" x14ac:dyDescent="0.3">
      <c r="A139" t="s">
        <v>432</v>
      </c>
      <c r="B139" t="s">
        <v>433</v>
      </c>
      <c r="C139" t="s">
        <v>434</v>
      </c>
      <c r="D139" t="s">
        <v>103</v>
      </c>
      <c r="E139" t="s">
        <v>104</v>
      </c>
      <c r="F139" t="s">
        <v>26</v>
      </c>
      <c r="G139">
        <v>5</v>
      </c>
      <c r="H139">
        <v>400</v>
      </c>
      <c r="I139">
        <v>2000</v>
      </c>
      <c r="J139" t="s">
        <v>18</v>
      </c>
      <c r="K139" t="s">
        <v>55</v>
      </c>
      <c r="L139" t="s">
        <v>20</v>
      </c>
    </row>
    <row r="140" spans="1:12" x14ac:dyDescent="0.3">
      <c r="A140" t="s">
        <v>435</v>
      </c>
      <c r="B140" t="s">
        <v>436</v>
      </c>
      <c r="C140" t="s">
        <v>437</v>
      </c>
      <c r="D140" t="s">
        <v>45</v>
      </c>
      <c r="E140" t="s">
        <v>16</v>
      </c>
      <c r="F140" t="s">
        <v>17</v>
      </c>
      <c r="G140">
        <v>4</v>
      </c>
      <c r="H140">
        <v>300</v>
      </c>
      <c r="I140">
        <v>1200</v>
      </c>
      <c r="J140" t="s">
        <v>72</v>
      </c>
      <c r="K140" t="s">
        <v>28</v>
      </c>
      <c r="L140" t="s">
        <v>56</v>
      </c>
    </row>
    <row r="141" spans="1:12" x14ac:dyDescent="0.3">
      <c r="A141" t="s">
        <v>438</v>
      </c>
      <c r="B141" t="s">
        <v>439</v>
      </c>
      <c r="C141" t="s">
        <v>440</v>
      </c>
      <c r="D141" t="s">
        <v>103</v>
      </c>
      <c r="E141" t="s">
        <v>64</v>
      </c>
      <c r="F141" t="s">
        <v>26</v>
      </c>
      <c r="G141">
        <v>4</v>
      </c>
      <c r="H141">
        <v>550</v>
      </c>
      <c r="I141">
        <v>2200</v>
      </c>
      <c r="J141" t="s">
        <v>72</v>
      </c>
      <c r="K141" t="s">
        <v>55</v>
      </c>
      <c r="L141" t="s">
        <v>41</v>
      </c>
    </row>
    <row r="142" spans="1:12" x14ac:dyDescent="0.3">
      <c r="A142" t="s">
        <v>441</v>
      </c>
      <c r="B142" t="s">
        <v>442</v>
      </c>
      <c r="C142" t="s">
        <v>443</v>
      </c>
      <c r="D142" t="s">
        <v>93</v>
      </c>
      <c r="E142" t="s">
        <v>16</v>
      </c>
      <c r="F142" t="s">
        <v>17</v>
      </c>
      <c r="G142">
        <v>3</v>
      </c>
      <c r="H142">
        <v>300</v>
      </c>
      <c r="I142">
        <v>900</v>
      </c>
      <c r="J142" t="s">
        <v>18</v>
      </c>
      <c r="K142" t="s">
        <v>35</v>
      </c>
      <c r="L142" t="s">
        <v>56</v>
      </c>
    </row>
    <row r="143" spans="1:12" x14ac:dyDescent="0.3">
      <c r="A143" t="s">
        <v>444</v>
      </c>
      <c r="B143" t="s">
        <v>445</v>
      </c>
      <c r="C143" t="s">
        <v>446</v>
      </c>
      <c r="D143" t="s">
        <v>63</v>
      </c>
      <c r="E143" t="s">
        <v>64</v>
      </c>
      <c r="F143" t="s">
        <v>26</v>
      </c>
      <c r="G143">
        <v>3</v>
      </c>
      <c r="H143">
        <v>550</v>
      </c>
      <c r="I143">
        <v>1650</v>
      </c>
      <c r="J143" t="s">
        <v>50</v>
      </c>
      <c r="K143" t="s">
        <v>55</v>
      </c>
      <c r="L143" t="s">
        <v>20</v>
      </c>
    </row>
    <row r="144" spans="1:12" x14ac:dyDescent="0.3">
      <c r="A144" t="s">
        <v>447</v>
      </c>
      <c r="B144" t="s">
        <v>448</v>
      </c>
      <c r="C144" t="s">
        <v>449</v>
      </c>
      <c r="D144" t="s">
        <v>32</v>
      </c>
      <c r="E144" t="s">
        <v>33</v>
      </c>
      <c r="F144" t="s">
        <v>34</v>
      </c>
      <c r="G144">
        <v>3</v>
      </c>
      <c r="H144">
        <v>90</v>
      </c>
      <c r="I144">
        <v>270</v>
      </c>
      <c r="J144" t="s">
        <v>27</v>
      </c>
      <c r="K144" t="s">
        <v>76</v>
      </c>
      <c r="L144" t="s">
        <v>56</v>
      </c>
    </row>
    <row r="145" spans="1:12" x14ac:dyDescent="0.3">
      <c r="A145" t="s">
        <v>450</v>
      </c>
      <c r="B145" t="s">
        <v>346</v>
      </c>
      <c r="C145" t="s">
        <v>451</v>
      </c>
      <c r="D145" t="s">
        <v>93</v>
      </c>
      <c r="E145" t="s">
        <v>25</v>
      </c>
      <c r="F145" t="s">
        <v>26</v>
      </c>
      <c r="G145">
        <v>3</v>
      </c>
      <c r="H145">
        <v>750</v>
      </c>
      <c r="I145">
        <v>2250</v>
      </c>
      <c r="J145" t="s">
        <v>79</v>
      </c>
      <c r="K145" t="s">
        <v>28</v>
      </c>
      <c r="L145" t="s">
        <v>56</v>
      </c>
    </row>
    <row r="146" spans="1:12" x14ac:dyDescent="0.3">
      <c r="A146" t="s">
        <v>452</v>
      </c>
      <c r="B146" t="s">
        <v>290</v>
      </c>
      <c r="C146" t="s">
        <v>453</v>
      </c>
      <c r="D146" t="s">
        <v>24</v>
      </c>
      <c r="E146" t="s">
        <v>16</v>
      </c>
      <c r="F146" t="s">
        <v>17</v>
      </c>
      <c r="G146">
        <v>2</v>
      </c>
      <c r="H146">
        <v>300</v>
      </c>
      <c r="I146">
        <v>600</v>
      </c>
      <c r="J146" t="s">
        <v>40</v>
      </c>
      <c r="K146" t="s">
        <v>35</v>
      </c>
      <c r="L146" t="s">
        <v>20</v>
      </c>
    </row>
    <row r="147" spans="1:12" x14ac:dyDescent="0.3">
      <c r="A147" t="s">
        <v>454</v>
      </c>
      <c r="B147" t="s">
        <v>455</v>
      </c>
      <c r="C147" t="s">
        <v>456</v>
      </c>
      <c r="D147" t="s">
        <v>15</v>
      </c>
      <c r="E147" t="s">
        <v>25</v>
      </c>
      <c r="F147" t="s">
        <v>26</v>
      </c>
      <c r="G147">
        <v>5</v>
      </c>
      <c r="H147">
        <v>750</v>
      </c>
      <c r="I147">
        <v>3750</v>
      </c>
      <c r="J147" t="s">
        <v>40</v>
      </c>
      <c r="K147" t="s">
        <v>55</v>
      </c>
      <c r="L147" t="s">
        <v>20</v>
      </c>
    </row>
    <row r="148" spans="1:12" x14ac:dyDescent="0.3">
      <c r="A148" t="s">
        <v>457</v>
      </c>
      <c r="B148" t="s">
        <v>458</v>
      </c>
      <c r="C148" t="s">
        <v>459</v>
      </c>
      <c r="D148" t="s">
        <v>45</v>
      </c>
      <c r="E148" t="s">
        <v>25</v>
      </c>
      <c r="F148" t="s">
        <v>26</v>
      </c>
      <c r="G148">
        <v>4</v>
      </c>
      <c r="H148">
        <v>750</v>
      </c>
      <c r="I148">
        <v>3000</v>
      </c>
      <c r="J148" t="s">
        <v>27</v>
      </c>
      <c r="K148" t="s">
        <v>55</v>
      </c>
      <c r="L148" t="s">
        <v>41</v>
      </c>
    </row>
    <row r="149" spans="1:12" x14ac:dyDescent="0.3">
      <c r="A149" t="s">
        <v>460</v>
      </c>
      <c r="B149" t="s">
        <v>461</v>
      </c>
      <c r="C149" t="s">
        <v>462</v>
      </c>
      <c r="D149" t="s">
        <v>103</v>
      </c>
      <c r="E149" t="s">
        <v>33</v>
      </c>
      <c r="F149" t="s">
        <v>34</v>
      </c>
      <c r="G149">
        <v>3</v>
      </c>
      <c r="H149">
        <v>90</v>
      </c>
      <c r="I149">
        <v>270</v>
      </c>
      <c r="J149" t="s">
        <v>18</v>
      </c>
      <c r="K149" t="s">
        <v>55</v>
      </c>
      <c r="L149" t="s">
        <v>41</v>
      </c>
    </row>
    <row r="150" spans="1:12" x14ac:dyDescent="0.3">
      <c r="A150" t="s">
        <v>463</v>
      </c>
      <c r="B150" t="s">
        <v>464</v>
      </c>
      <c r="C150" t="s">
        <v>465</v>
      </c>
      <c r="D150" t="s">
        <v>39</v>
      </c>
      <c r="E150" t="s">
        <v>64</v>
      </c>
      <c r="F150" t="s">
        <v>26</v>
      </c>
      <c r="G150">
        <v>3</v>
      </c>
      <c r="H150">
        <v>550</v>
      </c>
      <c r="I150">
        <v>1650</v>
      </c>
      <c r="J150" t="s">
        <v>40</v>
      </c>
      <c r="K150" t="s">
        <v>55</v>
      </c>
      <c r="L150" t="s">
        <v>20</v>
      </c>
    </row>
    <row r="151" spans="1:12" x14ac:dyDescent="0.3">
      <c r="A151" t="s">
        <v>466</v>
      </c>
      <c r="B151" t="s">
        <v>467</v>
      </c>
      <c r="C151" t="s">
        <v>468</v>
      </c>
      <c r="D151" t="s">
        <v>32</v>
      </c>
      <c r="E151" t="s">
        <v>33</v>
      </c>
      <c r="F151" t="s">
        <v>34</v>
      </c>
      <c r="G151">
        <v>6</v>
      </c>
      <c r="H151">
        <v>90</v>
      </c>
      <c r="I151">
        <v>540</v>
      </c>
      <c r="J151" t="s">
        <v>40</v>
      </c>
      <c r="K151" t="s">
        <v>19</v>
      </c>
      <c r="L151" t="s">
        <v>56</v>
      </c>
    </row>
    <row r="152" spans="1:12" x14ac:dyDescent="0.3">
      <c r="A152" t="s">
        <v>469</v>
      </c>
      <c r="B152" t="s">
        <v>406</v>
      </c>
      <c r="C152" t="s">
        <v>470</v>
      </c>
      <c r="D152" t="s">
        <v>63</v>
      </c>
      <c r="E152" t="s">
        <v>64</v>
      </c>
      <c r="F152" t="s">
        <v>26</v>
      </c>
      <c r="G152">
        <v>5</v>
      </c>
      <c r="H152">
        <v>550</v>
      </c>
      <c r="I152">
        <v>2750</v>
      </c>
      <c r="J152" t="s">
        <v>79</v>
      </c>
      <c r="K152" t="s">
        <v>76</v>
      </c>
      <c r="L152" t="s">
        <v>20</v>
      </c>
    </row>
    <row r="153" spans="1:12" x14ac:dyDescent="0.3">
      <c r="A153" t="s">
        <v>471</v>
      </c>
      <c r="B153" t="s">
        <v>22</v>
      </c>
      <c r="C153" t="s">
        <v>472</v>
      </c>
      <c r="D153" t="s">
        <v>143</v>
      </c>
      <c r="E153" t="s">
        <v>33</v>
      </c>
      <c r="F153" t="s">
        <v>34</v>
      </c>
      <c r="G153">
        <v>3</v>
      </c>
      <c r="H153">
        <v>90</v>
      </c>
      <c r="I153">
        <v>270</v>
      </c>
      <c r="J153" t="s">
        <v>18</v>
      </c>
      <c r="K153" t="s">
        <v>28</v>
      </c>
      <c r="L153" t="s">
        <v>56</v>
      </c>
    </row>
    <row r="154" spans="1:12" x14ac:dyDescent="0.3">
      <c r="A154" t="s">
        <v>473</v>
      </c>
      <c r="B154" t="s">
        <v>474</v>
      </c>
      <c r="C154" t="s">
        <v>475</v>
      </c>
      <c r="D154" t="s">
        <v>32</v>
      </c>
      <c r="E154" t="s">
        <v>16</v>
      </c>
      <c r="F154" t="s">
        <v>17</v>
      </c>
      <c r="G154">
        <v>2</v>
      </c>
      <c r="H154">
        <v>300</v>
      </c>
      <c r="I154">
        <v>600</v>
      </c>
      <c r="J154" t="s">
        <v>79</v>
      </c>
      <c r="K154" t="s">
        <v>19</v>
      </c>
      <c r="L154" t="s">
        <v>41</v>
      </c>
    </row>
    <row r="155" spans="1:12" x14ac:dyDescent="0.3">
      <c r="A155" t="s">
        <v>476</v>
      </c>
      <c r="B155" t="s">
        <v>118</v>
      </c>
      <c r="C155" t="s">
        <v>477</v>
      </c>
      <c r="D155" t="s">
        <v>63</v>
      </c>
      <c r="E155" t="s">
        <v>25</v>
      </c>
      <c r="F155" t="s">
        <v>26</v>
      </c>
      <c r="G155">
        <v>4</v>
      </c>
      <c r="H155">
        <v>750</v>
      </c>
      <c r="I155">
        <v>3000</v>
      </c>
      <c r="J155" t="s">
        <v>79</v>
      </c>
      <c r="K155" t="s">
        <v>28</v>
      </c>
      <c r="L155" t="s">
        <v>56</v>
      </c>
    </row>
    <row r="156" spans="1:12" x14ac:dyDescent="0.3">
      <c r="A156" t="s">
        <v>478</v>
      </c>
      <c r="B156" t="s">
        <v>479</v>
      </c>
      <c r="C156" t="s">
        <v>480</v>
      </c>
      <c r="D156" t="s">
        <v>63</v>
      </c>
      <c r="E156" t="s">
        <v>104</v>
      </c>
      <c r="F156" t="s">
        <v>26</v>
      </c>
      <c r="G156">
        <v>6</v>
      </c>
      <c r="H156">
        <v>400</v>
      </c>
      <c r="I156">
        <v>2400</v>
      </c>
      <c r="J156" t="s">
        <v>40</v>
      </c>
      <c r="K156" t="s">
        <v>76</v>
      </c>
      <c r="L156" t="s">
        <v>56</v>
      </c>
    </row>
    <row r="157" spans="1:12" x14ac:dyDescent="0.3">
      <c r="A157" t="s">
        <v>481</v>
      </c>
      <c r="B157" t="s">
        <v>482</v>
      </c>
      <c r="C157" t="s">
        <v>483</v>
      </c>
      <c r="D157" t="s">
        <v>24</v>
      </c>
      <c r="E157" t="s">
        <v>16</v>
      </c>
      <c r="F157" t="s">
        <v>17</v>
      </c>
      <c r="G157">
        <v>5</v>
      </c>
      <c r="H157">
        <v>300</v>
      </c>
      <c r="I157">
        <v>1500</v>
      </c>
      <c r="J157" t="s">
        <v>40</v>
      </c>
      <c r="K157" t="s">
        <v>19</v>
      </c>
      <c r="L157" t="s">
        <v>20</v>
      </c>
    </row>
    <row r="158" spans="1:12" x14ac:dyDescent="0.3">
      <c r="A158" t="s">
        <v>484</v>
      </c>
      <c r="B158" t="s">
        <v>485</v>
      </c>
      <c r="C158" t="s">
        <v>486</v>
      </c>
      <c r="D158" t="s">
        <v>103</v>
      </c>
      <c r="E158" t="s">
        <v>104</v>
      </c>
      <c r="F158" t="s">
        <v>26</v>
      </c>
      <c r="G158">
        <v>3</v>
      </c>
      <c r="H158">
        <v>400</v>
      </c>
      <c r="I158">
        <v>1200</v>
      </c>
      <c r="J158" t="s">
        <v>50</v>
      </c>
      <c r="K158" t="s">
        <v>35</v>
      </c>
      <c r="L158" t="s">
        <v>56</v>
      </c>
    </row>
    <row r="159" spans="1:12" x14ac:dyDescent="0.3">
      <c r="A159" t="s">
        <v>487</v>
      </c>
      <c r="B159" t="s">
        <v>488</v>
      </c>
      <c r="C159" t="s">
        <v>489</v>
      </c>
      <c r="D159" t="s">
        <v>49</v>
      </c>
      <c r="E159" t="s">
        <v>104</v>
      </c>
      <c r="F159" t="s">
        <v>26</v>
      </c>
      <c r="G159">
        <v>2</v>
      </c>
      <c r="H159">
        <v>400</v>
      </c>
      <c r="I159">
        <v>800</v>
      </c>
      <c r="J159" t="s">
        <v>40</v>
      </c>
      <c r="K159" t="s">
        <v>28</v>
      </c>
      <c r="L159" t="s">
        <v>41</v>
      </c>
    </row>
    <row r="160" spans="1:12" x14ac:dyDescent="0.3">
      <c r="A160" t="s">
        <v>490</v>
      </c>
      <c r="B160" t="s">
        <v>491</v>
      </c>
      <c r="C160" t="s">
        <v>492</v>
      </c>
      <c r="D160" t="s">
        <v>15</v>
      </c>
      <c r="E160" t="s">
        <v>64</v>
      </c>
      <c r="F160" t="s">
        <v>26</v>
      </c>
      <c r="G160">
        <v>5</v>
      </c>
      <c r="H160">
        <v>550</v>
      </c>
      <c r="I160">
        <v>2750</v>
      </c>
      <c r="J160" t="s">
        <v>79</v>
      </c>
      <c r="K160" t="s">
        <v>19</v>
      </c>
      <c r="L160" t="s">
        <v>56</v>
      </c>
    </row>
    <row r="161" spans="1:12" x14ac:dyDescent="0.3">
      <c r="A161" t="s">
        <v>493</v>
      </c>
      <c r="B161" t="s">
        <v>317</v>
      </c>
      <c r="C161" t="s">
        <v>494</v>
      </c>
      <c r="D161" t="s">
        <v>143</v>
      </c>
      <c r="E161" t="s">
        <v>104</v>
      </c>
      <c r="F161" t="s">
        <v>26</v>
      </c>
      <c r="G161">
        <v>5</v>
      </c>
      <c r="H161">
        <v>400</v>
      </c>
      <c r="I161">
        <v>2000</v>
      </c>
      <c r="J161" t="s">
        <v>40</v>
      </c>
      <c r="K161" t="s">
        <v>28</v>
      </c>
      <c r="L161" t="s">
        <v>20</v>
      </c>
    </row>
    <row r="162" spans="1:12" x14ac:dyDescent="0.3">
      <c r="A162" t="s">
        <v>495</v>
      </c>
      <c r="B162" t="s">
        <v>496</v>
      </c>
      <c r="C162" t="s">
        <v>497</v>
      </c>
      <c r="D162" t="s">
        <v>32</v>
      </c>
      <c r="E162" t="s">
        <v>16</v>
      </c>
      <c r="F162" t="s">
        <v>17</v>
      </c>
      <c r="G162">
        <v>6</v>
      </c>
      <c r="H162">
        <v>300</v>
      </c>
      <c r="I162">
        <v>1800</v>
      </c>
      <c r="J162" t="s">
        <v>72</v>
      </c>
      <c r="K162" t="s">
        <v>76</v>
      </c>
      <c r="L162" t="s">
        <v>56</v>
      </c>
    </row>
    <row r="163" spans="1:12" x14ac:dyDescent="0.3">
      <c r="A163" t="s">
        <v>498</v>
      </c>
      <c r="B163" t="s">
        <v>499</v>
      </c>
      <c r="C163" t="s">
        <v>500</v>
      </c>
      <c r="D163" t="s">
        <v>45</v>
      </c>
      <c r="E163" t="s">
        <v>104</v>
      </c>
      <c r="F163" t="s">
        <v>26</v>
      </c>
      <c r="G163">
        <v>2</v>
      </c>
      <c r="H163">
        <v>400</v>
      </c>
      <c r="I163">
        <v>800</v>
      </c>
      <c r="J163" t="s">
        <v>40</v>
      </c>
      <c r="K163" t="s">
        <v>76</v>
      </c>
      <c r="L163" t="s">
        <v>41</v>
      </c>
    </row>
    <row r="164" spans="1:12" x14ac:dyDescent="0.3">
      <c r="A164" t="s">
        <v>501</v>
      </c>
      <c r="B164" t="s">
        <v>502</v>
      </c>
      <c r="C164" t="s">
        <v>503</v>
      </c>
      <c r="D164" t="s">
        <v>24</v>
      </c>
      <c r="E164" t="s">
        <v>25</v>
      </c>
      <c r="F164" t="s">
        <v>26</v>
      </c>
      <c r="G164">
        <v>5</v>
      </c>
      <c r="H164">
        <v>750</v>
      </c>
      <c r="I164">
        <v>3750</v>
      </c>
      <c r="J164" t="s">
        <v>40</v>
      </c>
      <c r="K164" t="s">
        <v>19</v>
      </c>
      <c r="L164" t="s">
        <v>41</v>
      </c>
    </row>
    <row r="165" spans="1:12" x14ac:dyDescent="0.3">
      <c r="A165" t="s">
        <v>504</v>
      </c>
      <c r="B165" t="s">
        <v>505</v>
      </c>
      <c r="C165" t="s">
        <v>506</v>
      </c>
      <c r="D165" t="s">
        <v>39</v>
      </c>
      <c r="E165" t="s">
        <v>16</v>
      </c>
      <c r="F165" t="s">
        <v>17</v>
      </c>
      <c r="G165">
        <v>6</v>
      </c>
      <c r="H165">
        <v>300</v>
      </c>
      <c r="I165">
        <v>1800</v>
      </c>
      <c r="J165" t="s">
        <v>27</v>
      </c>
      <c r="K165" t="s">
        <v>35</v>
      </c>
      <c r="L165" t="s">
        <v>56</v>
      </c>
    </row>
    <row r="166" spans="1:12" x14ac:dyDescent="0.3">
      <c r="A166" t="s">
        <v>507</v>
      </c>
      <c r="B166" t="s">
        <v>508</v>
      </c>
      <c r="C166" t="s">
        <v>509</v>
      </c>
      <c r="D166" t="s">
        <v>15</v>
      </c>
      <c r="E166" t="s">
        <v>64</v>
      </c>
      <c r="F166" t="s">
        <v>26</v>
      </c>
      <c r="G166">
        <v>5</v>
      </c>
      <c r="H166">
        <v>550</v>
      </c>
      <c r="I166">
        <v>2750</v>
      </c>
      <c r="J166" t="s">
        <v>79</v>
      </c>
      <c r="K166" t="s">
        <v>35</v>
      </c>
      <c r="L166" t="s">
        <v>56</v>
      </c>
    </row>
    <row r="167" spans="1:12" x14ac:dyDescent="0.3">
      <c r="A167" t="s">
        <v>510</v>
      </c>
      <c r="B167" t="s">
        <v>458</v>
      </c>
      <c r="C167" t="s">
        <v>511</v>
      </c>
      <c r="D167" t="s">
        <v>49</v>
      </c>
      <c r="E167" t="s">
        <v>104</v>
      </c>
      <c r="F167" t="s">
        <v>26</v>
      </c>
      <c r="G167">
        <v>5</v>
      </c>
      <c r="H167">
        <v>400</v>
      </c>
      <c r="I167">
        <v>2000</v>
      </c>
      <c r="J167" t="s">
        <v>72</v>
      </c>
      <c r="K167" t="s">
        <v>76</v>
      </c>
      <c r="L167" t="s">
        <v>41</v>
      </c>
    </row>
    <row r="168" spans="1:12" x14ac:dyDescent="0.3">
      <c r="A168" t="s">
        <v>512</v>
      </c>
      <c r="B168" t="s">
        <v>88</v>
      </c>
      <c r="C168" t="s">
        <v>513</v>
      </c>
      <c r="D168" t="s">
        <v>63</v>
      </c>
      <c r="E168" t="s">
        <v>54</v>
      </c>
      <c r="F168" t="s">
        <v>17</v>
      </c>
      <c r="G168">
        <v>2</v>
      </c>
      <c r="H168">
        <v>150</v>
      </c>
      <c r="I168">
        <v>300</v>
      </c>
      <c r="J168" t="s">
        <v>72</v>
      </c>
      <c r="K168" t="s">
        <v>55</v>
      </c>
      <c r="L168" t="s">
        <v>20</v>
      </c>
    </row>
    <row r="169" spans="1:12" x14ac:dyDescent="0.3">
      <c r="A169" t="s">
        <v>514</v>
      </c>
      <c r="B169" t="s">
        <v>515</v>
      </c>
      <c r="C169" t="s">
        <v>516</v>
      </c>
      <c r="D169" t="s">
        <v>32</v>
      </c>
      <c r="E169" t="s">
        <v>25</v>
      </c>
      <c r="F169" t="s">
        <v>26</v>
      </c>
      <c r="G169">
        <v>5</v>
      </c>
      <c r="H169">
        <v>750</v>
      </c>
      <c r="I169">
        <v>3750</v>
      </c>
      <c r="J169" t="s">
        <v>40</v>
      </c>
      <c r="K169" t="s">
        <v>35</v>
      </c>
      <c r="L169" t="s">
        <v>20</v>
      </c>
    </row>
    <row r="170" spans="1:12" x14ac:dyDescent="0.3">
      <c r="A170" t="s">
        <v>517</v>
      </c>
      <c r="B170" t="s">
        <v>518</v>
      </c>
      <c r="C170" t="s">
        <v>519</v>
      </c>
      <c r="D170" t="s">
        <v>45</v>
      </c>
      <c r="E170" t="s">
        <v>64</v>
      </c>
      <c r="F170" t="s">
        <v>26</v>
      </c>
      <c r="G170">
        <v>4</v>
      </c>
      <c r="H170">
        <v>550</v>
      </c>
      <c r="I170">
        <v>2200</v>
      </c>
      <c r="J170" t="s">
        <v>72</v>
      </c>
      <c r="K170" t="s">
        <v>55</v>
      </c>
      <c r="L170" t="s">
        <v>41</v>
      </c>
    </row>
    <row r="171" spans="1:12" x14ac:dyDescent="0.3">
      <c r="A171" t="s">
        <v>520</v>
      </c>
      <c r="B171" t="s">
        <v>403</v>
      </c>
      <c r="C171" t="s">
        <v>521</v>
      </c>
      <c r="D171" t="s">
        <v>83</v>
      </c>
      <c r="E171" t="s">
        <v>16</v>
      </c>
      <c r="F171" t="s">
        <v>17</v>
      </c>
      <c r="G171">
        <v>1</v>
      </c>
      <c r="H171">
        <v>300</v>
      </c>
      <c r="I171">
        <v>300</v>
      </c>
      <c r="J171" t="s">
        <v>79</v>
      </c>
      <c r="K171" t="s">
        <v>19</v>
      </c>
      <c r="L171" t="s">
        <v>56</v>
      </c>
    </row>
    <row r="172" spans="1:12" x14ac:dyDescent="0.3">
      <c r="A172" t="s">
        <v>522</v>
      </c>
      <c r="B172" t="s">
        <v>523</v>
      </c>
      <c r="C172" t="s">
        <v>524</v>
      </c>
      <c r="D172" t="s">
        <v>45</v>
      </c>
      <c r="E172" t="s">
        <v>54</v>
      </c>
      <c r="F172" t="s">
        <v>17</v>
      </c>
      <c r="G172">
        <v>2</v>
      </c>
      <c r="H172">
        <v>150</v>
      </c>
      <c r="I172">
        <v>300</v>
      </c>
      <c r="J172" t="s">
        <v>18</v>
      </c>
      <c r="K172" t="s">
        <v>55</v>
      </c>
      <c r="L172" t="s">
        <v>56</v>
      </c>
    </row>
    <row r="173" spans="1:12" x14ac:dyDescent="0.3">
      <c r="A173" t="s">
        <v>525</v>
      </c>
      <c r="B173" t="s">
        <v>526</v>
      </c>
      <c r="C173" t="s">
        <v>527</v>
      </c>
      <c r="D173" t="s">
        <v>93</v>
      </c>
      <c r="E173" t="s">
        <v>25</v>
      </c>
      <c r="F173" t="s">
        <v>26</v>
      </c>
      <c r="G173">
        <v>4</v>
      </c>
      <c r="H173">
        <v>750</v>
      </c>
      <c r="I173">
        <v>3000</v>
      </c>
      <c r="J173" t="s">
        <v>72</v>
      </c>
      <c r="K173" t="s">
        <v>28</v>
      </c>
      <c r="L173" t="s">
        <v>20</v>
      </c>
    </row>
    <row r="174" spans="1:12" x14ac:dyDescent="0.3">
      <c r="A174" t="s">
        <v>528</v>
      </c>
      <c r="B174" t="s">
        <v>529</v>
      </c>
      <c r="C174" t="s">
        <v>530</v>
      </c>
      <c r="D174" t="s">
        <v>15</v>
      </c>
      <c r="E174" t="s">
        <v>25</v>
      </c>
      <c r="F174" t="s">
        <v>26</v>
      </c>
      <c r="G174">
        <v>2</v>
      </c>
      <c r="H174">
        <v>750</v>
      </c>
      <c r="I174">
        <v>1500</v>
      </c>
      <c r="J174" t="s">
        <v>79</v>
      </c>
      <c r="K174" t="s">
        <v>28</v>
      </c>
      <c r="L174" t="s">
        <v>41</v>
      </c>
    </row>
    <row r="175" spans="1:12" x14ac:dyDescent="0.3">
      <c r="A175" t="s">
        <v>531</v>
      </c>
      <c r="B175" t="s">
        <v>532</v>
      </c>
      <c r="C175" t="s">
        <v>533</v>
      </c>
      <c r="D175" t="s">
        <v>39</v>
      </c>
      <c r="E175" t="s">
        <v>64</v>
      </c>
      <c r="F175" t="s">
        <v>26</v>
      </c>
      <c r="G175">
        <v>5</v>
      </c>
      <c r="H175">
        <v>550</v>
      </c>
      <c r="I175">
        <v>2750</v>
      </c>
      <c r="J175" t="s">
        <v>18</v>
      </c>
      <c r="K175" t="s">
        <v>76</v>
      </c>
      <c r="L175" t="s">
        <v>56</v>
      </c>
    </row>
    <row r="176" spans="1:12" x14ac:dyDescent="0.3">
      <c r="A176" t="s">
        <v>534</v>
      </c>
      <c r="B176" t="s">
        <v>115</v>
      </c>
      <c r="C176" t="s">
        <v>535</v>
      </c>
      <c r="D176" t="s">
        <v>39</v>
      </c>
      <c r="E176" t="s">
        <v>54</v>
      </c>
      <c r="F176" t="s">
        <v>17</v>
      </c>
      <c r="G176">
        <v>1</v>
      </c>
      <c r="H176">
        <v>150</v>
      </c>
      <c r="I176">
        <v>150</v>
      </c>
      <c r="J176" t="s">
        <v>18</v>
      </c>
      <c r="K176" t="s">
        <v>55</v>
      </c>
      <c r="L176" t="s">
        <v>20</v>
      </c>
    </row>
    <row r="177" spans="1:12" x14ac:dyDescent="0.3">
      <c r="A177" t="s">
        <v>536</v>
      </c>
      <c r="B177" t="s">
        <v>290</v>
      </c>
      <c r="C177" t="s">
        <v>537</v>
      </c>
      <c r="D177" t="s">
        <v>45</v>
      </c>
      <c r="E177" t="s">
        <v>54</v>
      </c>
      <c r="F177" t="s">
        <v>17</v>
      </c>
      <c r="G177">
        <v>3</v>
      </c>
      <c r="H177">
        <v>150</v>
      </c>
      <c r="I177">
        <v>450</v>
      </c>
      <c r="J177" t="s">
        <v>72</v>
      </c>
      <c r="K177" t="s">
        <v>28</v>
      </c>
      <c r="L177" t="s">
        <v>41</v>
      </c>
    </row>
    <row r="178" spans="1:12" x14ac:dyDescent="0.3">
      <c r="A178" t="s">
        <v>538</v>
      </c>
      <c r="B178" t="s">
        <v>47</v>
      </c>
      <c r="C178" t="s">
        <v>539</v>
      </c>
      <c r="D178" t="s">
        <v>71</v>
      </c>
      <c r="E178" t="s">
        <v>64</v>
      </c>
      <c r="F178" t="s">
        <v>26</v>
      </c>
      <c r="G178">
        <v>3</v>
      </c>
      <c r="H178">
        <v>550</v>
      </c>
      <c r="I178">
        <v>1650</v>
      </c>
      <c r="J178" t="s">
        <v>50</v>
      </c>
      <c r="K178" t="s">
        <v>76</v>
      </c>
      <c r="L178" t="s">
        <v>20</v>
      </c>
    </row>
    <row r="179" spans="1:12" x14ac:dyDescent="0.3">
      <c r="A179" t="s">
        <v>540</v>
      </c>
      <c r="B179" t="s">
        <v>249</v>
      </c>
      <c r="C179" t="s">
        <v>541</v>
      </c>
      <c r="D179" t="s">
        <v>39</v>
      </c>
      <c r="E179" t="s">
        <v>64</v>
      </c>
      <c r="F179" t="s">
        <v>26</v>
      </c>
      <c r="G179">
        <v>2</v>
      </c>
      <c r="H179">
        <v>550</v>
      </c>
      <c r="I179">
        <v>1100</v>
      </c>
      <c r="J179" t="s">
        <v>27</v>
      </c>
      <c r="K179" t="s">
        <v>28</v>
      </c>
      <c r="L179" t="s">
        <v>20</v>
      </c>
    </row>
    <row r="180" spans="1:12" x14ac:dyDescent="0.3">
      <c r="A180" t="s">
        <v>542</v>
      </c>
      <c r="B180" t="s">
        <v>543</v>
      </c>
      <c r="C180" t="s">
        <v>544</v>
      </c>
      <c r="D180" t="s">
        <v>49</v>
      </c>
      <c r="E180" t="s">
        <v>25</v>
      </c>
      <c r="F180" t="s">
        <v>26</v>
      </c>
      <c r="G180">
        <v>3</v>
      </c>
      <c r="H180">
        <v>750</v>
      </c>
      <c r="I180">
        <v>2250</v>
      </c>
      <c r="J180" t="s">
        <v>40</v>
      </c>
      <c r="K180" t="s">
        <v>35</v>
      </c>
      <c r="L180" t="s">
        <v>41</v>
      </c>
    </row>
    <row r="181" spans="1:12" x14ac:dyDescent="0.3">
      <c r="A181" t="s">
        <v>545</v>
      </c>
      <c r="B181" t="s">
        <v>546</v>
      </c>
      <c r="C181" t="s">
        <v>547</v>
      </c>
      <c r="D181" t="s">
        <v>39</v>
      </c>
      <c r="E181" t="s">
        <v>104</v>
      </c>
      <c r="F181" t="s">
        <v>26</v>
      </c>
      <c r="G181">
        <v>6</v>
      </c>
      <c r="H181">
        <v>400</v>
      </c>
      <c r="I181">
        <v>2400</v>
      </c>
      <c r="J181" t="s">
        <v>72</v>
      </c>
      <c r="K181" t="s">
        <v>28</v>
      </c>
      <c r="L181" t="s">
        <v>20</v>
      </c>
    </row>
    <row r="182" spans="1:12" x14ac:dyDescent="0.3">
      <c r="A182" t="s">
        <v>548</v>
      </c>
      <c r="B182" t="s">
        <v>549</v>
      </c>
      <c r="C182" t="s">
        <v>550</v>
      </c>
      <c r="D182" t="s">
        <v>103</v>
      </c>
      <c r="E182" t="s">
        <v>16</v>
      </c>
      <c r="F182" t="s">
        <v>17</v>
      </c>
      <c r="G182">
        <v>1</v>
      </c>
      <c r="H182">
        <v>300</v>
      </c>
      <c r="I182">
        <v>300</v>
      </c>
      <c r="J182" t="s">
        <v>79</v>
      </c>
      <c r="K182" t="s">
        <v>55</v>
      </c>
      <c r="L182" t="s">
        <v>20</v>
      </c>
    </row>
    <row r="183" spans="1:12" x14ac:dyDescent="0.3">
      <c r="A183" t="s">
        <v>551</v>
      </c>
      <c r="B183" t="s">
        <v>267</v>
      </c>
      <c r="C183" t="s">
        <v>552</v>
      </c>
      <c r="D183" t="s">
        <v>32</v>
      </c>
      <c r="E183" t="s">
        <v>16</v>
      </c>
      <c r="F183" t="s">
        <v>17</v>
      </c>
      <c r="G183">
        <v>5</v>
      </c>
      <c r="H183">
        <v>300</v>
      </c>
      <c r="I183">
        <v>1500</v>
      </c>
      <c r="J183" t="s">
        <v>18</v>
      </c>
      <c r="K183" t="s">
        <v>55</v>
      </c>
      <c r="L183" t="s">
        <v>20</v>
      </c>
    </row>
    <row r="184" spans="1:12" x14ac:dyDescent="0.3">
      <c r="A184" t="s">
        <v>553</v>
      </c>
      <c r="B184" t="s">
        <v>554</v>
      </c>
      <c r="C184" t="s">
        <v>555</v>
      </c>
      <c r="D184" t="s">
        <v>143</v>
      </c>
      <c r="E184" t="s">
        <v>54</v>
      </c>
      <c r="F184" t="s">
        <v>17</v>
      </c>
      <c r="G184">
        <v>5</v>
      </c>
      <c r="H184">
        <v>150</v>
      </c>
      <c r="I184">
        <v>750</v>
      </c>
      <c r="J184" t="s">
        <v>79</v>
      </c>
      <c r="K184" t="s">
        <v>76</v>
      </c>
      <c r="L184" t="s">
        <v>20</v>
      </c>
    </row>
    <row r="185" spans="1:12" x14ac:dyDescent="0.3">
      <c r="A185" t="s">
        <v>556</v>
      </c>
      <c r="B185" t="s">
        <v>43</v>
      </c>
      <c r="C185" t="s">
        <v>557</v>
      </c>
      <c r="D185" t="s">
        <v>24</v>
      </c>
      <c r="E185" t="s">
        <v>25</v>
      </c>
      <c r="F185" t="s">
        <v>26</v>
      </c>
      <c r="G185">
        <v>3</v>
      </c>
      <c r="H185">
        <v>750</v>
      </c>
      <c r="I185">
        <v>2250</v>
      </c>
      <c r="J185" t="s">
        <v>27</v>
      </c>
      <c r="K185" t="s">
        <v>76</v>
      </c>
      <c r="L185" t="s">
        <v>20</v>
      </c>
    </row>
    <row r="186" spans="1:12" x14ac:dyDescent="0.3">
      <c r="A186" t="s">
        <v>558</v>
      </c>
      <c r="B186" t="s">
        <v>559</v>
      </c>
      <c r="C186" t="s">
        <v>560</v>
      </c>
      <c r="D186" t="s">
        <v>63</v>
      </c>
      <c r="E186" t="s">
        <v>64</v>
      </c>
      <c r="F186" t="s">
        <v>26</v>
      </c>
      <c r="G186">
        <v>4</v>
      </c>
      <c r="H186">
        <v>550</v>
      </c>
      <c r="I186">
        <v>2200</v>
      </c>
      <c r="J186" t="s">
        <v>27</v>
      </c>
      <c r="K186" t="s">
        <v>19</v>
      </c>
      <c r="L186" t="s">
        <v>56</v>
      </c>
    </row>
    <row r="187" spans="1:12" x14ac:dyDescent="0.3">
      <c r="A187" t="s">
        <v>561</v>
      </c>
      <c r="B187" t="s">
        <v>562</v>
      </c>
      <c r="C187" t="s">
        <v>563</v>
      </c>
      <c r="D187" t="s">
        <v>93</v>
      </c>
      <c r="E187" t="s">
        <v>16</v>
      </c>
      <c r="F187" t="s">
        <v>17</v>
      </c>
      <c r="G187">
        <v>1</v>
      </c>
      <c r="H187">
        <v>300</v>
      </c>
      <c r="I187">
        <v>300</v>
      </c>
      <c r="J187" t="s">
        <v>50</v>
      </c>
      <c r="K187" t="s">
        <v>28</v>
      </c>
      <c r="L187" t="s">
        <v>56</v>
      </c>
    </row>
    <row r="188" spans="1:12" x14ac:dyDescent="0.3">
      <c r="A188" t="s">
        <v>564</v>
      </c>
      <c r="B188" t="s">
        <v>246</v>
      </c>
      <c r="C188" t="s">
        <v>565</v>
      </c>
      <c r="D188" t="s">
        <v>103</v>
      </c>
      <c r="E188" t="s">
        <v>33</v>
      </c>
      <c r="F188" t="s">
        <v>34</v>
      </c>
      <c r="G188">
        <v>5</v>
      </c>
      <c r="H188">
        <v>90</v>
      </c>
      <c r="I188">
        <v>450</v>
      </c>
      <c r="J188" t="s">
        <v>27</v>
      </c>
      <c r="K188" t="s">
        <v>55</v>
      </c>
      <c r="L188" t="s">
        <v>41</v>
      </c>
    </row>
    <row r="189" spans="1:12" x14ac:dyDescent="0.3">
      <c r="A189" t="s">
        <v>566</v>
      </c>
      <c r="B189" t="s">
        <v>567</v>
      </c>
      <c r="C189" t="s">
        <v>568</v>
      </c>
      <c r="D189" t="s">
        <v>49</v>
      </c>
      <c r="E189" t="s">
        <v>64</v>
      </c>
      <c r="F189" t="s">
        <v>26</v>
      </c>
      <c r="G189">
        <v>2</v>
      </c>
      <c r="H189">
        <v>550</v>
      </c>
      <c r="I189">
        <v>1100</v>
      </c>
      <c r="J189" t="s">
        <v>40</v>
      </c>
      <c r="K189" t="s">
        <v>28</v>
      </c>
      <c r="L189" t="s">
        <v>56</v>
      </c>
    </row>
    <row r="190" spans="1:12" x14ac:dyDescent="0.3">
      <c r="A190" t="s">
        <v>569</v>
      </c>
      <c r="B190" t="s">
        <v>101</v>
      </c>
      <c r="C190" t="s">
        <v>570</v>
      </c>
      <c r="D190" t="s">
        <v>63</v>
      </c>
      <c r="E190" t="s">
        <v>64</v>
      </c>
      <c r="F190" t="s">
        <v>26</v>
      </c>
      <c r="G190">
        <v>3</v>
      </c>
      <c r="H190">
        <v>550</v>
      </c>
      <c r="I190">
        <v>1650</v>
      </c>
      <c r="J190" t="s">
        <v>72</v>
      </c>
      <c r="K190" t="s">
        <v>76</v>
      </c>
      <c r="L190" t="s">
        <v>20</v>
      </c>
    </row>
    <row r="191" spans="1:12" x14ac:dyDescent="0.3">
      <c r="A191" t="s">
        <v>571</v>
      </c>
      <c r="B191" t="s">
        <v>572</v>
      </c>
      <c r="C191" t="s">
        <v>573</v>
      </c>
      <c r="D191" t="s">
        <v>32</v>
      </c>
      <c r="E191" t="s">
        <v>33</v>
      </c>
      <c r="F191" t="s">
        <v>34</v>
      </c>
      <c r="G191">
        <v>3</v>
      </c>
      <c r="H191">
        <v>90</v>
      </c>
      <c r="I191">
        <v>270</v>
      </c>
      <c r="J191" t="s">
        <v>50</v>
      </c>
      <c r="K191" t="s">
        <v>28</v>
      </c>
      <c r="L191" t="s">
        <v>20</v>
      </c>
    </row>
    <row r="192" spans="1:12" x14ac:dyDescent="0.3">
      <c r="A192" t="s">
        <v>574</v>
      </c>
      <c r="B192" t="s">
        <v>575</v>
      </c>
      <c r="C192" t="s">
        <v>576</v>
      </c>
      <c r="D192" t="s">
        <v>71</v>
      </c>
      <c r="E192" t="s">
        <v>104</v>
      </c>
      <c r="F192" t="s">
        <v>26</v>
      </c>
      <c r="G192">
        <v>2</v>
      </c>
      <c r="H192">
        <v>400</v>
      </c>
      <c r="I192">
        <v>800</v>
      </c>
      <c r="J192" t="s">
        <v>72</v>
      </c>
      <c r="K192" t="s">
        <v>76</v>
      </c>
      <c r="L192" t="s">
        <v>56</v>
      </c>
    </row>
    <row r="193" spans="1:12" x14ac:dyDescent="0.3">
      <c r="A193" t="s">
        <v>577</v>
      </c>
      <c r="B193" t="s">
        <v>578</v>
      </c>
      <c r="C193" t="s">
        <v>579</v>
      </c>
      <c r="D193" t="s">
        <v>63</v>
      </c>
      <c r="E193" t="s">
        <v>64</v>
      </c>
      <c r="F193" t="s">
        <v>26</v>
      </c>
      <c r="G193">
        <v>2</v>
      </c>
      <c r="H193">
        <v>550</v>
      </c>
      <c r="I193">
        <v>1100</v>
      </c>
      <c r="J193" t="s">
        <v>79</v>
      </c>
      <c r="K193" t="s">
        <v>55</v>
      </c>
      <c r="L193" t="s">
        <v>56</v>
      </c>
    </row>
    <row r="194" spans="1:12" x14ac:dyDescent="0.3">
      <c r="A194" t="s">
        <v>580</v>
      </c>
      <c r="B194" t="s">
        <v>346</v>
      </c>
      <c r="C194" t="s">
        <v>581</v>
      </c>
      <c r="D194" t="s">
        <v>45</v>
      </c>
      <c r="E194" t="s">
        <v>16</v>
      </c>
      <c r="F194" t="s">
        <v>17</v>
      </c>
      <c r="G194">
        <v>6</v>
      </c>
      <c r="H194">
        <v>300</v>
      </c>
      <c r="I194">
        <v>1800</v>
      </c>
      <c r="J194" t="s">
        <v>79</v>
      </c>
      <c r="K194" t="s">
        <v>28</v>
      </c>
      <c r="L194" t="s">
        <v>20</v>
      </c>
    </row>
    <row r="195" spans="1:12" x14ac:dyDescent="0.3">
      <c r="A195" t="s">
        <v>582</v>
      </c>
      <c r="B195" t="s">
        <v>583</v>
      </c>
      <c r="C195" t="s">
        <v>584</v>
      </c>
      <c r="D195" t="s">
        <v>143</v>
      </c>
      <c r="E195" t="s">
        <v>54</v>
      </c>
      <c r="F195" t="s">
        <v>17</v>
      </c>
      <c r="G195">
        <v>2</v>
      </c>
      <c r="H195">
        <v>150</v>
      </c>
      <c r="I195">
        <v>300</v>
      </c>
      <c r="J195" t="s">
        <v>40</v>
      </c>
      <c r="K195" t="s">
        <v>76</v>
      </c>
      <c r="L195" t="s">
        <v>41</v>
      </c>
    </row>
    <row r="196" spans="1:12" x14ac:dyDescent="0.3">
      <c r="A196" t="s">
        <v>585</v>
      </c>
      <c r="B196" t="s">
        <v>290</v>
      </c>
      <c r="C196" t="s">
        <v>586</v>
      </c>
      <c r="D196" t="s">
        <v>93</v>
      </c>
      <c r="E196" t="s">
        <v>104</v>
      </c>
      <c r="F196" t="s">
        <v>26</v>
      </c>
      <c r="G196">
        <v>4</v>
      </c>
      <c r="H196">
        <v>400</v>
      </c>
      <c r="I196">
        <v>1600</v>
      </c>
      <c r="J196" t="s">
        <v>40</v>
      </c>
      <c r="K196" t="s">
        <v>35</v>
      </c>
      <c r="L196" t="s">
        <v>56</v>
      </c>
    </row>
    <row r="197" spans="1:12" x14ac:dyDescent="0.3">
      <c r="A197" t="s">
        <v>587</v>
      </c>
      <c r="B197" t="s">
        <v>588</v>
      </c>
      <c r="C197" t="s">
        <v>589</v>
      </c>
      <c r="D197" t="s">
        <v>49</v>
      </c>
      <c r="E197" t="s">
        <v>104</v>
      </c>
      <c r="F197" t="s">
        <v>26</v>
      </c>
      <c r="G197">
        <v>4</v>
      </c>
      <c r="H197">
        <v>400</v>
      </c>
      <c r="I197">
        <v>1600</v>
      </c>
      <c r="J197" t="s">
        <v>72</v>
      </c>
      <c r="K197" t="s">
        <v>55</v>
      </c>
      <c r="L197" t="s">
        <v>56</v>
      </c>
    </row>
    <row r="198" spans="1:12" x14ac:dyDescent="0.3">
      <c r="A198" t="s">
        <v>590</v>
      </c>
      <c r="B198" t="s">
        <v>334</v>
      </c>
      <c r="C198" t="s">
        <v>591</v>
      </c>
      <c r="D198" t="s">
        <v>45</v>
      </c>
      <c r="E198" t="s">
        <v>64</v>
      </c>
      <c r="F198" t="s">
        <v>26</v>
      </c>
      <c r="G198">
        <v>6</v>
      </c>
      <c r="H198">
        <v>550</v>
      </c>
      <c r="I198">
        <v>3300</v>
      </c>
      <c r="J198" t="s">
        <v>27</v>
      </c>
      <c r="K198" t="s">
        <v>19</v>
      </c>
      <c r="L198" t="s">
        <v>20</v>
      </c>
    </row>
    <row r="199" spans="1:12" x14ac:dyDescent="0.3">
      <c r="A199" t="s">
        <v>592</v>
      </c>
      <c r="B199" t="s">
        <v>270</v>
      </c>
      <c r="C199" t="s">
        <v>593</v>
      </c>
      <c r="D199" t="s">
        <v>15</v>
      </c>
      <c r="E199" t="s">
        <v>104</v>
      </c>
      <c r="F199" t="s">
        <v>26</v>
      </c>
      <c r="G199">
        <v>1</v>
      </c>
      <c r="H199">
        <v>400</v>
      </c>
      <c r="I199">
        <v>400</v>
      </c>
      <c r="J199" t="s">
        <v>18</v>
      </c>
      <c r="K199" t="s">
        <v>76</v>
      </c>
      <c r="L199" t="s">
        <v>20</v>
      </c>
    </row>
    <row r="200" spans="1:12" x14ac:dyDescent="0.3">
      <c r="A200" t="s">
        <v>594</v>
      </c>
      <c r="B200" t="s">
        <v>595</v>
      </c>
      <c r="C200" t="s">
        <v>596</v>
      </c>
      <c r="D200" t="s">
        <v>83</v>
      </c>
      <c r="E200" t="s">
        <v>104</v>
      </c>
      <c r="F200" t="s">
        <v>26</v>
      </c>
      <c r="G200">
        <v>1</v>
      </c>
      <c r="H200">
        <v>400</v>
      </c>
      <c r="I200">
        <v>400</v>
      </c>
      <c r="J200" t="s">
        <v>40</v>
      </c>
      <c r="K200" t="s">
        <v>35</v>
      </c>
      <c r="L200" t="s">
        <v>56</v>
      </c>
    </row>
    <row r="201" spans="1:12" x14ac:dyDescent="0.3">
      <c r="A201" t="s">
        <v>597</v>
      </c>
      <c r="B201" t="s">
        <v>598</v>
      </c>
      <c r="C201" t="s">
        <v>599</v>
      </c>
      <c r="D201" t="s">
        <v>15</v>
      </c>
      <c r="E201" t="s">
        <v>25</v>
      </c>
      <c r="F201" t="s">
        <v>26</v>
      </c>
      <c r="G201">
        <v>2</v>
      </c>
      <c r="H201">
        <v>750</v>
      </c>
      <c r="I201">
        <v>1500</v>
      </c>
      <c r="J201" t="s">
        <v>50</v>
      </c>
      <c r="K201" t="s">
        <v>76</v>
      </c>
      <c r="L201" t="s">
        <v>20</v>
      </c>
    </row>
    <row r="202" spans="1:12" x14ac:dyDescent="0.3">
      <c r="A202" t="s">
        <v>600</v>
      </c>
      <c r="B202" t="s">
        <v>601</v>
      </c>
      <c r="C202" t="s">
        <v>602</v>
      </c>
      <c r="D202" t="s">
        <v>83</v>
      </c>
      <c r="E202" t="s">
        <v>33</v>
      </c>
      <c r="F202" t="s">
        <v>34</v>
      </c>
      <c r="G202">
        <v>3</v>
      </c>
      <c r="H202">
        <v>90</v>
      </c>
      <c r="I202">
        <v>270</v>
      </c>
      <c r="J202" t="s">
        <v>79</v>
      </c>
      <c r="K202" t="s">
        <v>55</v>
      </c>
      <c r="L202" t="s">
        <v>20</v>
      </c>
    </row>
    <row r="203" spans="1:12" x14ac:dyDescent="0.3">
      <c r="A203" t="s">
        <v>603</v>
      </c>
      <c r="B203" t="s">
        <v>379</v>
      </c>
      <c r="C203" t="s">
        <v>604</v>
      </c>
      <c r="D203" t="s">
        <v>49</v>
      </c>
      <c r="E203" t="s">
        <v>16</v>
      </c>
      <c r="F203" t="s">
        <v>17</v>
      </c>
      <c r="G203">
        <v>4</v>
      </c>
      <c r="H203">
        <v>300</v>
      </c>
      <c r="I203">
        <v>1200</v>
      </c>
      <c r="J203" t="s">
        <v>18</v>
      </c>
      <c r="K203" t="s">
        <v>28</v>
      </c>
      <c r="L203" t="s">
        <v>56</v>
      </c>
    </row>
    <row r="204" spans="1:12" x14ac:dyDescent="0.3">
      <c r="A204" t="s">
        <v>605</v>
      </c>
      <c r="B204" t="s">
        <v>346</v>
      </c>
      <c r="C204" t="s">
        <v>606</v>
      </c>
      <c r="D204" t="s">
        <v>103</v>
      </c>
      <c r="E204" t="s">
        <v>25</v>
      </c>
      <c r="F204" t="s">
        <v>26</v>
      </c>
      <c r="G204">
        <v>2</v>
      </c>
      <c r="H204">
        <v>750</v>
      </c>
      <c r="I204">
        <v>1500</v>
      </c>
      <c r="J204" t="s">
        <v>18</v>
      </c>
      <c r="K204" t="s">
        <v>35</v>
      </c>
      <c r="L204" t="s">
        <v>56</v>
      </c>
    </row>
    <row r="205" spans="1:12" x14ac:dyDescent="0.3">
      <c r="A205" t="s">
        <v>607</v>
      </c>
      <c r="B205" t="s">
        <v>608</v>
      </c>
      <c r="C205" t="s">
        <v>609</v>
      </c>
      <c r="D205" t="s">
        <v>143</v>
      </c>
      <c r="E205" t="s">
        <v>104</v>
      </c>
      <c r="F205" t="s">
        <v>26</v>
      </c>
      <c r="G205">
        <v>2</v>
      </c>
      <c r="H205">
        <v>400</v>
      </c>
      <c r="I205">
        <v>800</v>
      </c>
      <c r="J205" t="s">
        <v>27</v>
      </c>
      <c r="K205" t="s">
        <v>19</v>
      </c>
      <c r="L205" t="s">
        <v>20</v>
      </c>
    </row>
    <row r="206" spans="1:12" x14ac:dyDescent="0.3">
      <c r="A206" t="s">
        <v>610</v>
      </c>
      <c r="B206" t="s">
        <v>611</v>
      </c>
      <c r="C206" t="s">
        <v>612</v>
      </c>
      <c r="D206" t="s">
        <v>32</v>
      </c>
      <c r="E206" t="s">
        <v>64</v>
      </c>
      <c r="F206" t="s">
        <v>26</v>
      </c>
      <c r="G206">
        <v>2</v>
      </c>
      <c r="H206">
        <v>550</v>
      </c>
      <c r="I206">
        <v>1100</v>
      </c>
      <c r="J206" t="s">
        <v>79</v>
      </c>
      <c r="K206" t="s">
        <v>35</v>
      </c>
      <c r="L206" t="s">
        <v>56</v>
      </c>
    </row>
    <row r="207" spans="1:12" x14ac:dyDescent="0.3">
      <c r="A207" t="s">
        <v>613</v>
      </c>
      <c r="B207" t="s">
        <v>261</v>
      </c>
      <c r="C207" t="s">
        <v>614</v>
      </c>
      <c r="D207" t="s">
        <v>71</v>
      </c>
      <c r="E207" t="s">
        <v>104</v>
      </c>
      <c r="F207" t="s">
        <v>26</v>
      </c>
      <c r="G207">
        <v>2</v>
      </c>
      <c r="H207">
        <v>400</v>
      </c>
      <c r="I207">
        <v>800</v>
      </c>
      <c r="J207" t="s">
        <v>18</v>
      </c>
      <c r="K207" t="s">
        <v>35</v>
      </c>
      <c r="L207" t="s">
        <v>41</v>
      </c>
    </row>
    <row r="208" spans="1:12" x14ac:dyDescent="0.3">
      <c r="A208" t="s">
        <v>615</v>
      </c>
      <c r="B208" t="s">
        <v>616</v>
      </c>
      <c r="C208" t="s">
        <v>617</v>
      </c>
      <c r="D208" t="s">
        <v>15</v>
      </c>
      <c r="E208" t="s">
        <v>25</v>
      </c>
      <c r="F208" t="s">
        <v>26</v>
      </c>
      <c r="G208">
        <v>3</v>
      </c>
      <c r="H208">
        <v>750</v>
      </c>
      <c r="I208">
        <v>2250</v>
      </c>
      <c r="J208" t="s">
        <v>40</v>
      </c>
      <c r="K208" t="s">
        <v>76</v>
      </c>
      <c r="L208" t="s">
        <v>56</v>
      </c>
    </row>
    <row r="209" spans="1:12" x14ac:dyDescent="0.3">
      <c r="A209" t="s">
        <v>618</v>
      </c>
      <c r="B209" t="s">
        <v>619</v>
      </c>
      <c r="C209" t="s">
        <v>620</v>
      </c>
      <c r="D209" t="s">
        <v>24</v>
      </c>
      <c r="E209" t="s">
        <v>25</v>
      </c>
      <c r="F209" t="s">
        <v>26</v>
      </c>
      <c r="G209">
        <v>1</v>
      </c>
      <c r="H209">
        <v>750</v>
      </c>
      <c r="I209">
        <v>750</v>
      </c>
      <c r="J209" t="s">
        <v>50</v>
      </c>
      <c r="K209" t="s">
        <v>55</v>
      </c>
      <c r="L209" t="s">
        <v>56</v>
      </c>
    </row>
    <row r="210" spans="1:12" x14ac:dyDescent="0.3">
      <c r="A210" t="s">
        <v>621</v>
      </c>
      <c r="B210" t="s">
        <v>442</v>
      </c>
      <c r="C210" t="s">
        <v>622</v>
      </c>
      <c r="D210" t="s">
        <v>39</v>
      </c>
      <c r="E210" t="s">
        <v>54</v>
      </c>
      <c r="F210" t="s">
        <v>17</v>
      </c>
      <c r="G210">
        <v>2</v>
      </c>
      <c r="H210">
        <v>150</v>
      </c>
      <c r="I210">
        <v>300</v>
      </c>
      <c r="J210" t="s">
        <v>72</v>
      </c>
      <c r="K210" t="s">
        <v>55</v>
      </c>
      <c r="L210" t="s">
        <v>20</v>
      </c>
    </row>
    <row r="211" spans="1:12" x14ac:dyDescent="0.3">
      <c r="A211" t="s">
        <v>623</v>
      </c>
      <c r="B211" t="s">
        <v>624</v>
      </c>
      <c r="C211" t="s">
        <v>625</v>
      </c>
      <c r="D211" t="s">
        <v>15</v>
      </c>
      <c r="E211" t="s">
        <v>64</v>
      </c>
      <c r="F211" t="s">
        <v>26</v>
      </c>
      <c r="G211">
        <v>4</v>
      </c>
      <c r="H211">
        <v>550</v>
      </c>
      <c r="I211">
        <v>2200</v>
      </c>
      <c r="J211" t="s">
        <v>40</v>
      </c>
      <c r="K211" t="s">
        <v>28</v>
      </c>
      <c r="L211" t="s">
        <v>56</v>
      </c>
    </row>
    <row r="212" spans="1:12" x14ac:dyDescent="0.3">
      <c r="A212" t="s">
        <v>626</v>
      </c>
      <c r="B212" t="s">
        <v>91</v>
      </c>
      <c r="C212" t="s">
        <v>627</v>
      </c>
      <c r="D212" t="s">
        <v>15</v>
      </c>
      <c r="E212" t="s">
        <v>25</v>
      </c>
      <c r="F212" t="s">
        <v>26</v>
      </c>
      <c r="G212">
        <v>4</v>
      </c>
      <c r="H212">
        <v>750</v>
      </c>
      <c r="I212">
        <v>3000</v>
      </c>
      <c r="J212" t="s">
        <v>72</v>
      </c>
      <c r="K212" t="s">
        <v>35</v>
      </c>
      <c r="L212" t="s">
        <v>20</v>
      </c>
    </row>
    <row r="213" spans="1:12" x14ac:dyDescent="0.3">
      <c r="A213" t="s">
        <v>628</v>
      </c>
      <c r="B213" t="s">
        <v>629</v>
      </c>
      <c r="C213" t="s">
        <v>630</v>
      </c>
      <c r="D213" t="s">
        <v>15</v>
      </c>
      <c r="E213" t="s">
        <v>54</v>
      </c>
      <c r="F213" t="s">
        <v>17</v>
      </c>
      <c r="G213">
        <v>6</v>
      </c>
      <c r="H213">
        <v>150</v>
      </c>
      <c r="I213">
        <v>900</v>
      </c>
      <c r="J213" t="s">
        <v>27</v>
      </c>
      <c r="K213" t="s">
        <v>19</v>
      </c>
      <c r="L213" t="s">
        <v>41</v>
      </c>
    </row>
    <row r="214" spans="1:12" x14ac:dyDescent="0.3">
      <c r="A214" t="s">
        <v>631</v>
      </c>
      <c r="B214" t="s">
        <v>482</v>
      </c>
      <c r="C214" t="s">
        <v>632</v>
      </c>
      <c r="D214" t="s">
        <v>32</v>
      </c>
      <c r="E214" t="s">
        <v>25</v>
      </c>
      <c r="F214" t="s">
        <v>26</v>
      </c>
      <c r="G214">
        <v>6</v>
      </c>
      <c r="H214">
        <v>750</v>
      </c>
      <c r="I214">
        <v>4500</v>
      </c>
      <c r="J214" t="s">
        <v>40</v>
      </c>
      <c r="K214" t="s">
        <v>19</v>
      </c>
      <c r="L214" t="s">
        <v>41</v>
      </c>
    </row>
    <row r="215" spans="1:12" x14ac:dyDescent="0.3">
      <c r="A215" t="s">
        <v>633</v>
      </c>
      <c r="B215" t="s">
        <v>634</v>
      </c>
      <c r="C215" t="s">
        <v>635</v>
      </c>
      <c r="D215" t="s">
        <v>103</v>
      </c>
      <c r="E215" t="s">
        <v>54</v>
      </c>
      <c r="F215" t="s">
        <v>17</v>
      </c>
      <c r="G215">
        <v>1</v>
      </c>
      <c r="H215">
        <v>150</v>
      </c>
      <c r="I215">
        <v>150</v>
      </c>
      <c r="J215" t="s">
        <v>40</v>
      </c>
      <c r="K215" t="s">
        <v>76</v>
      </c>
      <c r="L215" t="s">
        <v>56</v>
      </c>
    </row>
    <row r="216" spans="1:12" x14ac:dyDescent="0.3">
      <c r="A216" t="s">
        <v>636</v>
      </c>
      <c r="B216" t="s">
        <v>637</v>
      </c>
      <c r="C216" t="s">
        <v>638</v>
      </c>
      <c r="D216" t="s">
        <v>15</v>
      </c>
      <c r="E216" t="s">
        <v>16</v>
      </c>
      <c r="F216" t="s">
        <v>17</v>
      </c>
      <c r="G216">
        <v>3</v>
      </c>
      <c r="H216">
        <v>300</v>
      </c>
      <c r="I216">
        <v>900</v>
      </c>
      <c r="J216" t="s">
        <v>79</v>
      </c>
      <c r="K216" t="s">
        <v>35</v>
      </c>
      <c r="L216" t="s">
        <v>41</v>
      </c>
    </row>
    <row r="217" spans="1:12" x14ac:dyDescent="0.3">
      <c r="A217" t="s">
        <v>639</v>
      </c>
      <c r="B217" t="s">
        <v>249</v>
      </c>
      <c r="C217" t="s">
        <v>640</v>
      </c>
      <c r="D217" t="s">
        <v>143</v>
      </c>
      <c r="E217" t="s">
        <v>104</v>
      </c>
      <c r="F217" t="s">
        <v>26</v>
      </c>
      <c r="G217">
        <v>3</v>
      </c>
      <c r="H217">
        <v>400</v>
      </c>
      <c r="I217">
        <v>1200</v>
      </c>
      <c r="J217" t="s">
        <v>50</v>
      </c>
      <c r="K217" t="s">
        <v>55</v>
      </c>
      <c r="L217" t="s">
        <v>20</v>
      </c>
    </row>
    <row r="218" spans="1:12" x14ac:dyDescent="0.3">
      <c r="A218" t="s">
        <v>641</v>
      </c>
      <c r="B218" t="s">
        <v>642</v>
      </c>
      <c r="C218" t="s">
        <v>643</v>
      </c>
      <c r="D218" t="s">
        <v>103</v>
      </c>
      <c r="E218" t="s">
        <v>16</v>
      </c>
      <c r="F218" t="s">
        <v>17</v>
      </c>
      <c r="G218">
        <v>5</v>
      </c>
      <c r="H218">
        <v>300</v>
      </c>
      <c r="I218">
        <v>1500</v>
      </c>
      <c r="J218" t="s">
        <v>27</v>
      </c>
      <c r="K218" t="s">
        <v>76</v>
      </c>
      <c r="L218" t="s">
        <v>20</v>
      </c>
    </row>
    <row r="219" spans="1:12" x14ac:dyDescent="0.3">
      <c r="A219" t="s">
        <v>644</v>
      </c>
      <c r="B219" t="s">
        <v>645</v>
      </c>
      <c r="C219" t="s">
        <v>646</v>
      </c>
      <c r="D219" t="s">
        <v>15</v>
      </c>
      <c r="E219" t="s">
        <v>33</v>
      </c>
      <c r="F219" t="s">
        <v>34</v>
      </c>
      <c r="G219">
        <v>4</v>
      </c>
      <c r="H219">
        <v>90</v>
      </c>
      <c r="I219">
        <v>360</v>
      </c>
      <c r="J219" t="s">
        <v>79</v>
      </c>
      <c r="K219" t="s">
        <v>76</v>
      </c>
      <c r="L219" t="s">
        <v>41</v>
      </c>
    </row>
    <row r="220" spans="1:12" x14ac:dyDescent="0.3">
      <c r="A220" t="s">
        <v>647</v>
      </c>
      <c r="B220" t="s">
        <v>648</v>
      </c>
      <c r="C220" t="s">
        <v>649</v>
      </c>
      <c r="D220" t="s">
        <v>32</v>
      </c>
      <c r="E220" t="s">
        <v>16</v>
      </c>
      <c r="F220" t="s">
        <v>17</v>
      </c>
      <c r="G220">
        <v>6</v>
      </c>
      <c r="H220">
        <v>300</v>
      </c>
      <c r="I220">
        <v>1800</v>
      </c>
      <c r="J220" t="s">
        <v>18</v>
      </c>
      <c r="K220" t="s">
        <v>76</v>
      </c>
      <c r="L220" t="s">
        <v>20</v>
      </c>
    </row>
    <row r="221" spans="1:12" x14ac:dyDescent="0.3">
      <c r="A221" t="s">
        <v>650</v>
      </c>
      <c r="B221" t="s">
        <v>651</v>
      </c>
      <c r="C221" t="s">
        <v>652</v>
      </c>
      <c r="D221" t="s">
        <v>143</v>
      </c>
      <c r="E221" t="s">
        <v>33</v>
      </c>
      <c r="F221" t="s">
        <v>34</v>
      </c>
      <c r="G221">
        <v>3</v>
      </c>
      <c r="H221">
        <v>90</v>
      </c>
      <c r="I221">
        <v>270</v>
      </c>
      <c r="J221" t="s">
        <v>50</v>
      </c>
      <c r="K221" t="s">
        <v>35</v>
      </c>
      <c r="L221" t="s">
        <v>41</v>
      </c>
    </row>
    <row r="222" spans="1:12" x14ac:dyDescent="0.3">
      <c r="A222" t="s">
        <v>653</v>
      </c>
      <c r="B222" t="s">
        <v>654</v>
      </c>
      <c r="C222" t="s">
        <v>655</v>
      </c>
      <c r="D222" t="s">
        <v>143</v>
      </c>
      <c r="E222" t="s">
        <v>16</v>
      </c>
      <c r="F222" t="s">
        <v>17</v>
      </c>
      <c r="G222">
        <v>6</v>
      </c>
      <c r="H222">
        <v>300</v>
      </c>
      <c r="I222">
        <v>1800</v>
      </c>
      <c r="J222" t="s">
        <v>72</v>
      </c>
      <c r="K222" t="s">
        <v>76</v>
      </c>
      <c r="L222" t="s">
        <v>41</v>
      </c>
    </row>
    <row r="223" spans="1:12" x14ac:dyDescent="0.3">
      <c r="A223" t="s">
        <v>656</v>
      </c>
      <c r="B223" t="s">
        <v>109</v>
      </c>
      <c r="C223" t="s">
        <v>657</v>
      </c>
      <c r="D223" t="s">
        <v>15</v>
      </c>
      <c r="E223" t="s">
        <v>54</v>
      </c>
      <c r="F223" t="s">
        <v>17</v>
      </c>
      <c r="G223">
        <v>6</v>
      </c>
      <c r="H223">
        <v>150</v>
      </c>
      <c r="I223">
        <v>900</v>
      </c>
      <c r="J223" t="s">
        <v>27</v>
      </c>
      <c r="K223" t="s">
        <v>35</v>
      </c>
      <c r="L223" t="s">
        <v>20</v>
      </c>
    </row>
    <row r="224" spans="1:12" x14ac:dyDescent="0.3">
      <c r="A224" t="s">
        <v>658</v>
      </c>
      <c r="B224" t="s">
        <v>191</v>
      </c>
      <c r="C224" t="s">
        <v>659</v>
      </c>
      <c r="D224" t="s">
        <v>39</v>
      </c>
      <c r="E224" t="s">
        <v>33</v>
      </c>
      <c r="F224" t="s">
        <v>34</v>
      </c>
      <c r="G224">
        <v>5</v>
      </c>
      <c r="H224">
        <v>90</v>
      </c>
      <c r="I224">
        <v>450</v>
      </c>
      <c r="J224" t="s">
        <v>50</v>
      </c>
      <c r="K224" t="s">
        <v>55</v>
      </c>
      <c r="L224" t="s">
        <v>20</v>
      </c>
    </row>
    <row r="225" spans="1:12" x14ac:dyDescent="0.3">
      <c r="A225" t="s">
        <v>660</v>
      </c>
      <c r="B225" t="s">
        <v>357</v>
      </c>
      <c r="C225" t="s">
        <v>661</v>
      </c>
      <c r="D225" t="s">
        <v>24</v>
      </c>
      <c r="E225" t="s">
        <v>16</v>
      </c>
      <c r="F225" t="s">
        <v>17</v>
      </c>
      <c r="G225">
        <v>5</v>
      </c>
      <c r="H225">
        <v>300</v>
      </c>
      <c r="I225">
        <v>1500</v>
      </c>
      <c r="J225" t="s">
        <v>79</v>
      </c>
      <c r="K225" t="s">
        <v>55</v>
      </c>
      <c r="L225" t="s">
        <v>56</v>
      </c>
    </row>
    <row r="226" spans="1:12" x14ac:dyDescent="0.3">
      <c r="A226" t="s">
        <v>662</v>
      </c>
      <c r="B226" t="s">
        <v>663</v>
      </c>
      <c r="C226" t="s">
        <v>664</v>
      </c>
      <c r="D226" t="s">
        <v>24</v>
      </c>
      <c r="E226" t="s">
        <v>25</v>
      </c>
      <c r="F226" t="s">
        <v>26</v>
      </c>
      <c r="G226">
        <v>3</v>
      </c>
      <c r="H226">
        <v>750</v>
      </c>
      <c r="I226">
        <v>2250</v>
      </c>
      <c r="J226" t="s">
        <v>79</v>
      </c>
      <c r="K226" t="s">
        <v>76</v>
      </c>
      <c r="L226" t="s">
        <v>20</v>
      </c>
    </row>
    <row r="227" spans="1:12" x14ac:dyDescent="0.3">
      <c r="A227" t="s">
        <v>665</v>
      </c>
      <c r="B227" t="s">
        <v>666</v>
      </c>
      <c r="C227" t="s">
        <v>667</v>
      </c>
      <c r="D227" t="s">
        <v>32</v>
      </c>
      <c r="E227" t="s">
        <v>104</v>
      </c>
      <c r="F227" t="s">
        <v>26</v>
      </c>
      <c r="G227">
        <v>1</v>
      </c>
      <c r="H227">
        <v>400</v>
      </c>
      <c r="I227">
        <v>400</v>
      </c>
      <c r="J227" t="s">
        <v>40</v>
      </c>
      <c r="K227" t="s">
        <v>35</v>
      </c>
      <c r="L227" t="s">
        <v>56</v>
      </c>
    </row>
    <row r="228" spans="1:12" x14ac:dyDescent="0.3">
      <c r="A228" t="s">
        <v>668</v>
      </c>
      <c r="B228" t="s">
        <v>669</v>
      </c>
      <c r="C228" t="s">
        <v>670</v>
      </c>
      <c r="D228" t="s">
        <v>71</v>
      </c>
      <c r="E228" t="s">
        <v>25</v>
      </c>
      <c r="F228" t="s">
        <v>26</v>
      </c>
      <c r="G228">
        <v>6</v>
      </c>
      <c r="H228">
        <v>750</v>
      </c>
      <c r="I228">
        <v>4500</v>
      </c>
      <c r="J228" t="s">
        <v>50</v>
      </c>
      <c r="K228" t="s">
        <v>76</v>
      </c>
      <c r="L228" t="s">
        <v>20</v>
      </c>
    </row>
    <row r="229" spans="1:12" x14ac:dyDescent="0.3">
      <c r="A229" t="s">
        <v>671</v>
      </c>
      <c r="B229" t="s">
        <v>672</v>
      </c>
      <c r="C229" t="s">
        <v>673</v>
      </c>
      <c r="D229" t="s">
        <v>103</v>
      </c>
      <c r="E229" t="s">
        <v>33</v>
      </c>
      <c r="F229" t="s">
        <v>34</v>
      </c>
      <c r="G229">
        <v>6</v>
      </c>
      <c r="H229">
        <v>90</v>
      </c>
      <c r="I229">
        <v>540</v>
      </c>
      <c r="J229" t="s">
        <v>40</v>
      </c>
      <c r="K229" t="s">
        <v>76</v>
      </c>
      <c r="L229" t="s">
        <v>20</v>
      </c>
    </row>
    <row r="230" spans="1:12" x14ac:dyDescent="0.3">
      <c r="A230" t="s">
        <v>674</v>
      </c>
      <c r="B230" t="s">
        <v>141</v>
      </c>
      <c r="C230" t="s">
        <v>675</v>
      </c>
      <c r="D230" t="s">
        <v>143</v>
      </c>
      <c r="E230" t="s">
        <v>64</v>
      </c>
      <c r="F230" t="s">
        <v>26</v>
      </c>
      <c r="G230">
        <v>6</v>
      </c>
      <c r="H230">
        <v>550</v>
      </c>
      <c r="I230">
        <v>3300</v>
      </c>
      <c r="J230" t="s">
        <v>50</v>
      </c>
      <c r="K230" t="s">
        <v>28</v>
      </c>
      <c r="L230" t="s">
        <v>56</v>
      </c>
    </row>
    <row r="231" spans="1:12" x14ac:dyDescent="0.3">
      <c r="A231" t="s">
        <v>676</v>
      </c>
      <c r="B231" t="s">
        <v>379</v>
      </c>
      <c r="C231" t="s">
        <v>677</v>
      </c>
      <c r="D231" t="s">
        <v>93</v>
      </c>
      <c r="E231" t="s">
        <v>16</v>
      </c>
      <c r="F231" t="s">
        <v>17</v>
      </c>
      <c r="G231">
        <v>5</v>
      </c>
      <c r="H231">
        <v>300</v>
      </c>
      <c r="I231">
        <v>1500</v>
      </c>
      <c r="J231" t="s">
        <v>18</v>
      </c>
      <c r="K231" t="s">
        <v>55</v>
      </c>
      <c r="L231" t="s">
        <v>20</v>
      </c>
    </row>
    <row r="232" spans="1:12" x14ac:dyDescent="0.3">
      <c r="A232" t="s">
        <v>678</v>
      </c>
      <c r="B232" t="s">
        <v>360</v>
      </c>
      <c r="C232" t="s">
        <v>679</v>
      </c>
      <c r="D232" t="s">
        <v>49</v>
      </c>
      <c r="E232" t="s">
        <v>64</v>
      </c>
      <c r="F232" t="s">
        <v>26</v>
      </c>
      <c r="G232">
        <v>4</v>
      </c>
      <c r="H232">
        <v>550</v>
      </c>
      <c r="I232">
        <v>2200</v>
      </c>
      <c r="J232" t="s">
        <v>79</v>
      </c>
      <c r="K232" t="s">
        <v>28</v>
      </c>
      <c r="L232" t="s">
        <v>56</v>
      </c>
    </row>
    <row r="233" spans="1:12" x14ac:dyDescent="0.3">
      <c r="A233" t="s">
        <v>680</v>
      </c>
      <c r="B233" t="s">
        <v>206</v>
      </c>
      <c r="C233" t="s">
        <v>681</v>
      </c>
      <c r="D233" t="s">
        <v>45</v>
      </c>
      <c r="E233" t="s">
        <v>104</v>
      </c>
      <c r="F233" t="s">
        <v>26</v>
      </c>
      <c r="G233">
        <v>3</v>
      </c>
      <c r="H233">
        <v>400</v>
      </c>
      <c r="I233">
        <v>1200</v>
      </c>
      <c r="J233" t="s">
        <v>27</v>
      </c>
      <c r="K233" t="s">
        <v>55</v>
      </c>
      <c r="L233" t="s">
        <v>56</v>
      </c>
    </row>
    <row r="234" spans="1:12" x14ac:dyDescent="0.3">
      <c r="A234" t="s">
        <v>682</v>
      </c>
      <c r="B234" t="s">
        <v>543</v>
      </c>
      <c r="C234" t="s">
        <v>683</v>
      </c>
      <c r="D234" t="s">
        <v>71</v>
      </c>
      <c r="E234" t="s">
        <v>16</v>
      </c>
      <c r="F234" t="s">
        <v>17</v>
      </c>
      <c r="G234">
        <v>6</v>
      </c>
      <c r="H234">
        <v>300</v>
      </c>
      <c r="I234">
        <v>1800</v>
      </c>
      <c r="J234" t="s">
        <v>18</v>
      </c>
      <c r="K234" t="s">
        <v>35</v>
      </c>
      <c r="L234" t="s">
        <v>56</v>
      </c>
    </row>
    <row r="235" spans="1:12" x14ac:dyDescent="0.3">
      <c r="A235" t="s">
        <v>684</v>
      </c>
      <c r="B235" t="s">
        <v>685</v>
      </c>
      <c r="C235" t="s">
        <v>686</v>
      </c>
      <c r="D235" t="s">
        <v>39</v>
      </c>
      <c r="E235" t="s">
        <v>54</v>
      </c>
      <c r="F235" t="s">
        <v>17</v>
      </c>
      <c r="G235">
        <v>6</v>
      </c>
      <c r="H235">
        <v>150</v>
      </c>
      <c r="I235">
        <v>900</v>
      </c>
      <c r="J235" t="s">
        <v>79</v>
      </c>
      <c r="K235" t="s">
        <v>55</v>
      </c>
      <c r="L235" t="s">
        <v>20</v>
      </c>
    </row>
    <row r="236" spans="1:12" x14ac:dyDescent="0.3">
      <c r="A236" t="s">
        <v>687</v>
      </c>
      <c r="B236" t="s">
        <v>642</v>
      </c>
      <c r="C236" t="s">
        <v>688</v>
      </c>
      <c r="D236" t="s">
        <v>32</v>
      </c>
      <c r="E236" t="s">
        <v>33</v>
      </c>
      <c r="F236" t="s">
        <v>34</v>
      </c>
      <c r="G236">
        <v>2</v>
      </c>
      <c r="H236">
        <v>90</v>
      </c>
      <c r="I236">
        <v>180</v>
      </c>
      <c r="J236" t="s">
        <v>72</v>
      </c>
      <c r="K236" t="s">
        <v>35</v>
      </c>
      <c r="L236" t="s">
        <v>56</v>
      </c>
    </row>
    <row r="237" spans="1:12" x14ac:dyDescent="0.3">
      <c r="A237" t="s">
        <v>689</v>
      </c>
      <c r="B237" t="s">
        <v>690</v>
      </c>
      <c r="C237" t="s">
        <v>691</v>
      </c>
      <c r="D237" t="s">
        <v>39</v>
      </c>
      <c r="E237" t="s">
        <v>16</v>
      </c>
      <c r="F237" t="s">
        <v>17</v>
      </c>
      <c r="G237">
        <v>4</v>
      </c>
      <c r="H237">
        <v>300</v>
      </c>
      <c r="I237">
        <v>1200</v>
      </c>
      <c r="J237" t="s">
        <v>79</v>
      </c>
      <c r="K237" t="s">
        <v>55</v>
      </c>
      <c r="L237" t="s">
        <v>41</v>
      </c>
    </row>
    <row r="238" spans="1:12" x14ac:dyDescent="0.3">
      <c r="A238" t="s">
        <v>692</v>
      </c>
      <c r="B238" t="s">
        <v>58</v>
      </c>
      <c r="C238" t="s">
        <v>693</v>
      </c>
      <c r="D238" t="s">
        <v>103</v>
      </c>
      <c r="E238" t="s">
        <v>16</v>
      </c>
      <c r="F238" t="s">
        <v>17</v>
      </c>
      <c r="G238">
        <v>3</v>
      </c>
      <c r="H238">
        <v>300</v>
      </c>
      <c r="I238">
        <v>900</v>
      </c>
      <c r="J238" t="s">
        <v>72</v>
      </c>
      <c r="K238" t="s">
        <v>55</v>
      </c>
      <c r="L238" t="s">
        <v>20</v>
      </c>
    </row>
    <row r="239" spans="1:12" x14ac:dyDescent="0.3">
      <c r="A239" t="s">
        <v>694</v>
      </c>
      <c r="B239" t="s">
        <v>695</v>
      </c>
      <c r="C239" t="s">
        <v>696</v>
      </c>
      <c r="D239" t="s">
        <v>143</v>
      </c>
      <c r="E239" t="s">
        <v>25</v>
      </c>
      <c r="F239" t="s">
        <v>26</v>
      </c>
      <c r="G239">
        <v>6</v>
      </c>
      <c r="H239">
        <v>750</v>
      </c>
      <c r="I239">
        <v>4500</v>
      </c>
      <c r="J239" t="s">
        <v>18</v>
      </c>
      <c r="K239" t="s">
        <v>28</v>
      </c>
      <c r="L239" t="s">
        <v>56</v>
      </c>
    </row>
    <row r="240" spans="1:12" x14ac:dyDescent="0.3">
      <c r="A240" t="s">
        <v>697</v>
      </c>
      <c r="B240" t="s">
        <v>448</v>
      </c>
      <c r="C240" t="s">
        <v>698</v>
      </c>
      <c r="D240" t="s">
        <v>71</v>
      </c>
      <c r="E240" t="s">
        <v>104</v>
      </c>
      <c r="F240" t="s">
        <v>26</v>
      </c>
      <c r="G240">
        <v>6</v>
      </c>
      <c r="H240">
        <v>400</v>
      </c>
      <c r="I240">
        <v>2400</v>
      </c>
      <c r="J240" t="s">
        <v>50</v>
      </c>
      <c r="K240" t="s">
        <v>19</v>
      </c>
      <c r="L240" t="s">
        <v>56</v>
      </c>
    </row>
    <row r="241" spans="1:12" x14ac:dyDescent="0.3">
      <c r="A241" t="s">
        <v>699</v>
      </c>
      <c r="B241" t="s">
        <v>442</v>
      </c>
      <c r="C241" t="s">
        <v>700</v>
      </c>
      <c r="D241" t="s">
        <v>143</v>
      </c>
      <c r="E241" t="s">
        <v>64</v>
      </c>
      <c r="F241" t="s">
        <v>26</v>
      </c>
      <c r="G241">
        <v>6</v>
      </c>
      <c r="H241">
        <v>550</v>
      </c>
      <c r="I241">
        <v>3300</v>
      </c>
      <c r="J241" t="s">
        <v>40</v>
      </c>
      <c r="K241" t="s">
        <v>76</v>
      </c>
      <c r="L241" t="s">
        <v>20</v>
      </c>
    </row>
    <row r="242" spans="1:12" x14ac:dyDescent="0.3">
      <c r="A242" t="s">
        <v>701</v>
      </c>
      <c r="B242" t="s">
        <v>106</v>
      </c>
      <c r="C242" t="s">
        <v>702</v>
      </c>
      <c r="D242" t="s">
        <v>49</v>
      </c>
      <c r="E242" t="s">
        <v>64</v>
      </c>
      <c r="F242" t="s">
        <v>26</v>
      </c>
      <c r="G242">
        <v>4</v>
      </c>
      <c r="H242">
        <v>550</v>
      </c>
      <c r="I242">
        <v>2200</v>
      </c>
      <c r="J242" t="s">
        <v>50</v>
      </c>
      <c r="K242" t="s">
        <v>76</v>
      </c>
      <c r="L242" t="s">
        <v>56</v>
      </c>
    </row>
    <row r="243" spans="1:12" x14ac:dyDescent="0.3">
      <c r="A243" t="s">
        <v>703</v>
      </c>
      <c r="B243" t="s">
        <v>601</v>
      </c>
      <c r="C243" t="s">
        <v>704</v>
      </c>
      <c r="D243" t="s">
        <v>39</v>
      </c>
      <c r="E243" t="s">
        <v>33</v>
      </c>
      <c r="F243" t="s">
        <v>34</v>
      </c>
      <c r="G243">
        <v>6</v>
      </c>
      <c r="H243">
        <v>90</v>
      </c>
      <c r="I243">
        <v>540</v>
      </c>
      <c r="J243" t="s">
        <v>27</v>
      </c>
      <c r="K243" t="s">
        <v>76</v>
      </c>
      <c r="L243" t="s">
        <v>56</v>
      </c>
    </row>
    <row r="244" spans="1:12" x14ac:dyDescent="0.3">
      <c r="A244" t="s">
        <v>705</v>
      </c>
      <c r="B244" t="s">
        <v>706</v>
      </c>
      <c r="C244" t="s">
        <v>707</v>
      </c>
      <c r="D244" t="s">
        <v>71</v>
      </c>
      <c r="E244" t="s">
        <v>54</v>
      </c>
      <c r="F244" t="s">
        <v>17</v>
      </c>
      <c r="G244">
        <v>1</v>
      </c>
      <c r="H244">
        <v>150</v>
      </c>
      <c r="I244">
        <v>150</v>
      </c>
      <c r="J244" t="s">
        <v>50</v>
      </c>
      <c r="K244" t="s">
        <v>19</v>
      </c>
      <c r="L244" t="s">
        <v>41</v>
      </c>
    </row>
    <row r="245" spans="1:12" x14ac:dyDescent="0.3">
      <c r="A245" t="s">
        <v>708</v>
      </c>
      <c r="B245" t="s">
        <v>225</v>
      </c>
      <c r="C245" t="s">
        <v>709</v>
      </c>
      <c r="D245" t="s">
        <v>15</v>
      </c>
      <c r="E245" t="s">
        <v>64</v>
      </c>
      <c r="F245" t="s">
        <v>26</v>
      </c>
      <c r="G245">
        <v>4</v>
      </c>
      <c r="H245">
        <v>550</v>
      </c>
      <c r="I245">
        <v>2200</v>
      </c>
      <c r="J245" t="s">
        <v>40</v>
      </c>
      <c r="K245" t="s">
        <v>28</v>
      </c>
      <c r="L245" t="s">
        <v>20</v>
      </c>
    </row>
    <row r="246" spans="1:12" x14ac:dyDescent="0.3">
      <c r="A246" t="s">
        <v>710</v>
      </c>
      <c r="B246" t="s">
        <v>240</v>
      </c>
      <c r="C246" t="s">
        <v>711</v>
      </c>
      <c r="D246" t="s">
        <v>39</v>
      </c>
      <c r="E246" t="s">
        <v>64</v>
      </c>
      <c r="F246" t="s">
        <v>26</v>
      </c>
      <c r="G246">
        <v>6</v>
      </c>
      <c r="H246">
        <v>550</v>
      </c>
      <c r="I246">
        <v>3300</v>
      </c>
      <c r="J246" t="s">
        <v>18</v>
      </c>
      <c r="K246" t="s">
        <v>19</v>
      </c>
      <c r="L246" t="s">
        <v>56</v>
      </c>
    </row>
    <row r="247" spans="1:12" x14ac:dyDescent="0.3">
      <c r="A247" t="s">
        <v>712</v>
      </c>
      <c r="B247" t="s">
        <v>713</v>
      </c>
      <c r="C247" t="s">
        <v>714</v>
      </c>
      <c r="D247" t="s">
        <v>45</v>
      </c>
      <c r="E247" t="s">
        <v>54</v>
      </c>
      <c r="F247" t="s">
        <v>17</v>
      </c>
      <c r="G247">
        <v>6</v>
      </c>
      <c r="H247">
        <v>150</v>
      </c>
      <c r="I247">
        <v>900</v>
      </c>
      <c r="J247" t="s">
        <v>40</v>
      </c>
      <c r="K247" t="s">
        <v>19</v>
      </c>
      <c r="L247" t="s">
        <v>41</v>
      </c>
    </row>
    <row r="248" spans="1:12" x14ac:dyDescent="0.3">
      <c r="A248" t="s">
        <v>715</v>
      </c>
      <c r="B248" t="s">
        <v>716</v>
      </c>
      <c r="C248" t="s">
        <v>717</v>
      </c>
      <c r="D248" t="s">
        <v>63</v>
      </c>
      <c r="E248" t="s">
        <v>16</v>
      </c>
      <c r="F248" t="s">
        <v>17</v>
      </c>
      <c r="G248">
        <v>3</v>
      </c>
      <c r="H248">
        <v>300</v>
      </c>
      <c r="I248">
        <v>900</v>
      </c>
      <c r="J248" t="s">
        <v>72</v>
      </c>
      <c r="K248" t="s">
        <v>76</v>
      </c>
      <c r="L248" t="s">
        <v>20</v>
      </c>
    </row>
    <row r="249" spans="1:12" x14ac:dyDescent="0.3">
      <c r="A249" t="s">
        <v>718</v>
      </c>
      <c r="B249" t="s">
        <v>719</v>
      </c>
      <c r="C249" t="s">
        <v>720</v>
      </c>
      <c r="D249" t="s">
        <v>103</v>
      </c>
      <c r="E249" t="s">
        <v>16</v>
      </c>
      <c r="F249" t="s">
        <v>17</v>
      </c>
      <c r="G249">
        <v>2</v>
      </c>
      <c r="H249">
        <v>300</v>
      </c>
      <c r="I249">
        <v>600</v>
      </c>
      <c r="J249" t="s">
        <v>18</v>
      </c>
      <c r="K249" t="s">
        <v>28</v>
      </c>
      <c r="L249" t="s">
        <v>56</v>
      </c>
    </row>
    <row r="250" spans="1:12" x14ac:dyDescent="0.3">
      <c r="A250" t="s">
        <v>721</v>
      </c>
      <c r="B250" t="s">
        <v>722</v>
      </c>
      <c r="C250" t="s">
        <v>723</v>
      </c>
      <c r="D250" t="s">
        <v>93</v>
      </c>
      <c r="E250" t="s">
        <v>16</v>
      </c>
      <c r="F250" t="s">
        <v>17</v>
      </c>
      <c r="G250">
        <v>6</v>
      </c>
      <c r="H250">
        <v>300</v>
      </c>
      <c r="I250">
        <v>1800</v>
      </c>
      <c r="J250" t="s">
        <v>50</v>
      </c>
      <c r="K250" t="s">
        <v>28</v>
      </c>
      <c r="L250" t="s">
        <v>20</v>
      </c>
    </row>
    <row r="251" spans="1:12" x14ac:dyDescent="0.3">
      <c r="A251" t="s">
        <v>724</v>
      </c>
      <c r="B251" t="s">
        <v>725</v>
      </c>
      <c r="C251" t="s">
        <v>726</v>
      </c>
      <c r="D251" t="s">
        <v>93</v>
      </c>
      <c r="E251" t="s">
        <v>64</v>
      </c>
      <c r="F251" t="s">
        <v>26</v>
      </c>
      <c r="G251">
        <v>4</v>
      </c>
      <c r="H251">
        <v>550</v>
      </c>
      <c r="I251">
        <v>2200</v>
      </c>
      <c r="J251" t="s">
        <v>79</v>
      </c>
      <c r="K251" t="s">
        <v>35</v>
      </c>
      <c r="L251" t="s">
        <v>41</v>
      </c>
    </row>
    <row r="252" spans="1:12" x14ac:dyDescent="0.3">
      <c r="A252" t="s">
        <v>727</v>
      </c>
      <c r="B252" t="s">
        <v>430</v>
      </c>
      <c r="C252" t="s">
        <v>728</v>
      </c>
      <c r="D252" t="s">
        <v>32</v>
      </c>
      <c r="E252" t="s">
        <v>25</v>
      </c>
      <c r="F252" t="s">
        <v>26</v>
      </c>
      <c r="G252">
        <v>3</v>
      </c>
      <c r="H252">
        <v>750</v>
      </c>
      <c r="I252">
        <v>2250</v>
      </c>
      <c r="J252" t="s">
        <v>40</v>
      </c>
      <c r="K252" t="s">
        <v>35</v>
      </c>
      <c r="L252" t="s">
        <v>41</v>
      </c>
    </row>
    <row r="253" spans="1:12" x14ac:dyDescent="0.3">
      <c r="A253" t="s">
        <v>729</v>
      </c>
      <c r="B253" t="s">
        <v>439</v>
      </c>
      <c r="C253" t="s">
        <v>730</v>
      </c>
      <c r="D253" t="s">
        <v>63</v>
      </c>
      <c r="E253" t="s">
        <v>33</v>
      </c>
      <c r="F253" t="s">
        <v>34</v>
      </c>
      <c r="G253">
        <v>3</v>
      </c>
      <c r="H253">
        <v>90</v>
      </c>
      <c r="I253">
        <v>270</v>
      </c>
      <c r="J253" t="s">
        <v>40</v>
      </c>
      <c r="K253" t="s">
        <v>76</v>
      </c>
      <c r="L253" t="s">
        <v>20</v>
      </c>
    </row>
    <row r="254" spans="1:12" x14ac:dyDescent="0.3">
      <c r="A254" t="s">
        <v>731</v>
      </c>
      <c r="B254" t="s">
        <v>732</v>
      </c>
      <c r="C254" t="s">
        <v>733</v>
      </c>
      <c r="D254" t="s">
        <v>143</v>
      </c>
      <c r="E254" t="s">
        <v>16</v>
      </c>
      <c r="F254" t="s">
        <v>17</v>
      </c>
      <c r="G254">
        <v>1</v>
      </c>
      <c r="H254">
        <v>300</v>
      </c>
      <c r="I254">
        <v>300</v>
      </c>
      <c r="J254" t="s">
        <v>79</v>
      </c>
      <c r="K254" t="s">
        <v>35</v>
      </c>
      <c r="L254" t="s">
        <v>20</v>
      </c>
    </row>
    <row r="255" spans="1:12" x14ac:dyDescent="0.3">
      <c r="A255" t="s">
        <v>734</v>
      </c>
      <c r="B255" t="s">
        <v>735</v>
      </c>
      <c r="C255" t="s">
        <v>736</v>
      </c>
      <c r="D255" t="s">
        <v>63</v>
      </c>
      <c r="E255" t="s">
        <v>54</v>
      </c>
      <c r="F255" t="s">
        <v>17</v>
      </c>
      <c r="G255">
        <v>1</v>
      </c>
      <c r="H255">
        <v>150</v>
      </c>
      <c r="I255">
        <v>150</v>
      </c>
      <c r="J255" t="s">
        <v>79</v>
      </c>
      <c r="K255" t="s">
        <v>76</v>
      </c>
      <c r="L255" t="s">
        <v>56</v>
      </c>
    </row>
    <row r="256" spans="1:12" x14ac:dyDescent="0.3">
      <c r="A256" t="s">
        <v>737</v>
      </c>
      <c r="B256" t="s">
        <v>738</v>
      </c>
      <c r="C256" t="s">
        <v>739</v>
      </c>
      <c r="D256" t="s">
        <v>49</v>
      </c>
      <c r="E256" t="s">
        <v>25</v>
      </c>
      <c r="F256" t="s">
        <v>26</v>
      </c>
      <c r="G256">
        <v>6</v>
      </c>
      <c r="H256">
        <v>750</v>
      </c>
      <c r="I256">
        <v>4500</v>
      </c>
      <c r="J256" t="s">
        <v>18</v>
      </c>
      <c r="K256" t="s">
        <v>19</v>
      </c>
      <c r="L256" t="s">
        <v>41</v>
      </c>
    </row>
    <row r="257" spans="1:12" x14ac:dyDescent="0.3">
      <c r="A257" t="s">
        <v>740</v>
      </c>
      <c r="B257" t="s">
        <v>741</v>
      </c>
      <c r="C257" t="s">
        <v>742</v>
      </c>
      <c r="D257" t="s">
        <v>103</v>
      </c>
      <c r="E257" t="s">
        <v>104</v>
      </c>
      <c r="F257" t="s">
        <v>26</v>
      </c>
      <c r="G257">
        <v>3</v>
      </c>
      <c r="H257">
        <v>400</v>
      </c>
      <c r="I257">
        <v>1200</v>
      </c>
      <c r="J257" t="s">
        <v>18</v>
      </c>
      <c r="K257" t="s">
        <v>35</v>
      </c>
      <c r="L257" t="s">
        <v>20</v>
      </c>
    </row>
    <row r="258" spans="1:12" x14ac:dyDescent="0.3">
      <c r="A258" t="s">
        <v>743</v>
      </c>
      <c r="B258" t="s">
        <v>744</v>
      </c>
      <c r="C258" t="s">
        <v>745</v>
      </c>
      <c r="D258" t="s">
        <v>45</v>
      </c>
      <c r="E258" t="s">
        <v>16</v>
      </c>
      <c r="F258" t="s">
        <v>17</v>
      </c>
      <c r="G258">
        <v>5</v>
      </c>
      <c r="H258">
        <v>300</v>
      </c>
      <c r="I258">
        <v>1500</v>
      </c>
      <c r="J258" t="s">
        <v>72</v>
      </c>
      <c r="K258" t="s">
        <v>35</v>
      </c>
      <c r="L258" t="s">
        <v>20</v>
      </c>
    </row>
    <row r="259" spans="1:12" x14ac:dyDescent="0.3">
      <c r="A259" t="s">
        <v>746</v>
      </c>
      <c r="B259" t="s">
        <v>747</v>
      </c>
      <c r="C259" t="s">
        <v>748</v>
      </c>
      <c r="D259" t="s">
        <v>143</v>
      </c>
      <c r="E259" t="s">
        <v>25</v>
      </c>
      <c r="F259" t="s">
        <v>26</v>
      </c>
      <c r="G259">
        <v>3</v>
      </c>
      <c r="H259">
        <v>750</v>
      </c>
      <c r="I259">
        <v>2250</v>
      </c>
      <c r="J259" t="s">
        <v>27</v>
      </c>
      <c r="K259" t="s">
        <v>28</v>
      </c>
      <c r="L259" t="s">
        <v>41</v>
      </c>
    </row>
    <row r="260" spans="1:12" x14ac:dyDescent="0.3">
      <c r="A260" t="s">
        <v>749</v>
      </c>
      <c r="B260" t="s">
        <v>363</v>
      </c>
      <c r="C260" t="s">
        <v>750</v>
      </c>
      <c r="D260" t="s">
        <v>143</v>
      </c>
      <c r="E260" t="s">
        <v>64</v>
      </c>
      <c r="F260" t="s">
        <v>26</v>
      </c>
      <c r="G260">
        <v>2</v>
      </c>
      <c r="H260">
        <v>550</v>
      </c>
      <c r="I260">
        <v>1100</v>
      </c>
      <c r="J260" t="s">
        <v>27</v>
      </c>
      <c r="K260" t="s">
        <v>28</v>
      </c>
      <c r="L260" t="s">
        <v>56</v>
      </c>
    </row>
    <row r="261" spans="1:12" x14ac:dyDescent="0.3">
      <c r="A261" t="s">
        <v>751</v>
      </c>
      <c r="B261" t="s">
        <v>752</v>
      </c>
      <c r="C261" t="s">
        <v>753</v>
      </c>
      <c r="D261" t="s">
        <v>39</v>
      </c>
      <c r="E261" t="s">
        <v>104</v>
      </c>
      <c r="F261" t="s">
        <v>26</v>
      </c>
      <c r="G261">
        <v>3</v>
      </c>
      <c r="H261">
        <v>400</v>
      </c>
      <c r="I261">
        <v>1200</v>
      </c>
      <c r="J261" t="s">
        <v>72</v>
      </c>
      <c r="K261" t="s">
        <v>35</v>
      </c>
      <c r="L261" t="s">
        <v>56</v>
      </c>
    </row>
    <row r="262" spans="1:12" x14ac:dyDescent="0.3">
      <c r="A262" t="s">
        <v>754</v>
      </c>
      <c r="B262" t="s">
        <v>755</v>
      </c>
      <c r="C262" t="s">
        <v>756</v>
      </c>
      <c r="D262" t="s">
        <v>45</v>
      </c>
      <c r="E262" t="s">
        <v>33</v>
      </c>
      <c r="F262" t="s">
        <v>34</v>
      </c>
      <c r="G262">
        <v>1</v>
      </c>
      <c r="H262">
        <v>90</v>
      </c>
      <c r="I262">
        <v>90</v>
      </c>
      <c r="J262" t="s">
        <v>50</v>
      </c>
      <c r="K262" t="s">
        <v>28</v>
      </c>
      <c r="L262" t="s">
        <v>20</v>
      </c>
    </row>
    <row r="263" spans="1:12" x14ac:dyDescent="0.3">
      <c r="A263" t="s">
        <v>757</v>
      </c>
      <c r="B263" t="s">
        <v>758</v>
      </c>
      <c r="C263" t="s">
        <v>759</v>
      </c>
      <c r="D263" t="s">
        <v>71</v>
      </c>
      <c r="E263" t="s">
        <v>54</v>
      </c>
      <c r="F263" t="s">
        <v>17</v>
      </c>
      <c r="G263">
        <v>3</v>
      </c>
      <c r="H263">
        <v>150</v>
      </c>
      <c r="I263">
        <v>450</v>
      </c>
      <c r="J263" t="s">
        <v>79</v>
      </c>
      <c r="K263" t="s">
        <v>55</v>
      </c>
      <c r="L263" t="s">
        <v>41</v>
      </c>
    </row>
    <row r="264" spans="1:12" x14ac:dyDescent="0.3">
      <c r="A264" t="s">
        <v>760</v>
      </c>
      <c r="B264" t="s">
        <v>761</v>
      </c>
      <c r="C264" t="s">
        <v>762</v>
      </c>
      <c r="D264" t="s">
        <v>143</v>
      </c>
      <c r="E264" t="s">
        <v>16</v>
      </c>
      <c r="F264" t="s">
        <v>17</v>
      </c>
      <c r="G264">
        <v>5</v>
      </c>
      <c r="H264">
        <v>300</v>
      </c>
      <c r="I264">
        <v>1500</v>
      </c>
      <c r="J264" t="s">
        <v>72</v>
      </c>
      <c r="K264" t="s">
        <v>19</v>
      </c>
      <c r="L264" t="s">
        <v>41</v>
      </c>
    </row>
    <row r="265" spans="1:12" x14ac:dyDescent="0.3">
      <c r="A265" t="s">
        <v>763</v>
      </c>
      <c r="B265" t="s">
        <v>764</v>
      </c>
      <c r="C265" t="s">
        <v>765</v>
      </c>
      <c r="D265" t="s">
        <v>39</v>
      </c>
      <c r="E265" t="s">
        <v>16</v>
      </c>
      <c r="F265" t="s">
        <v>17</v>
      </c>
      <c r="G265">
        <v>4</v>
      </c>
      <c r="H265">
        <v>300</v>
      </c>
      <c r="I265">
        <v>1200</v>
      </c>
      <c r="J265" t="s">
        <v>79</v>
      </c>
      <c r="K265" t="s">
        <v>19</v>
      </c>
      <c r="L265" t="s">
        <v>56</v>
      </c>
    </row>
    <row r="266" spans="1:12" x14ac:dyDescent="0.3">
      <c r="A266" t="s">
        <v>766</v>
      </c>
      <c r="B266" t="s">
        <v>747</v>
      </c>
      <c r="C266" t="s">
        <v>767</v>
      </c>
      <c r="D266" t="s">
        <v>71</v>
      </c>
      <c r="E266" t="s">
        <v>16</v>
      </c>
      <c r="F266" t="s">
        <v>17</v>
      </c>
      <c r="G266">
        <v>3</v>
      </c>
      <c r="H266">
        <v>300</v>
      </c>
      <c r="I266">
        <v>900</v>
      </c>
      <c r="J266" t="s">
        <v>27</v>
      </c>
      <c r="K266" t="s">
        <v>76</v>
      </c>
      <c r="L266" t="s">
        <v>41</v>
      </c>
    </row>
    <row r="267" spans="1:12" x14ac:dyDescent="0.3">
      <c r="A267" t="s">
        <v>768</v>
      </c>
      <c r="B267" t="s">
        <v>523</v>
      </c>
      <c r="C267" t="s">
        <v>769</v>
      </c>
      <c r="D267" t="s">
        <v>71</v>
      </c>
      <c r="E267" t="s">
        <v>64</v>
      </c>
      <c r="F267" t="s">
        <v>26</v>
      </c>
      <c r="G267">
        <v>5</v>
      </c>
      <c r="H267">
        <v>550</v>
      </c>
      <c r="I267">
        <v>2750</v>
      </c>
      <c r="J267" t="s">
        <v>50</v>
      </c>
      <c r="K267" t="s">
        <v>55</v>
      </c>
      <c r="L267" t="s">
        <v>20</v>
      </c>
    </row>
    <row r="268" spans="1:12" x14ac:dyDescent="0.3">
      <c r="A268" t="s">
        <v>770</v>
      </c>
      <c r="B268" t="s">
        <v>200</v>
      </c>
      <c r="C268" t="s">
        <v>771</v>
      </c>
      <c r="D268" t="s">
        <v>49</v>
      </c>
      <c r="E268" t="s">
        <v>25</v>
      </c>
      <c r="F268" t="s">
        <v>26</v>
      </c>
      <c r="G268">
        <v>4</v>
      </c>
      <c r="H268">
        <v>750</v>
      </c>
      <c r="I268">
        <v>3000</v>
      </c>
      <c r="J268" t="s">
        <v>18</v>
      </c>
      <c r="K268" t="s">
        <v>28</v>
      </c>
      <c r="L268" t="s">
        <v>20</v>
      </c>
    </row>
    <row r="269" spans="1:12" x14ac:dyDescent="0.3">
      <c r="A269" t="s">
        <v>772</v>
      </c>
      <c r="B269" t="s">
        <v>523</v>
      </c>
      <c r="C269" t="s">
        <v>773</v>
      </c>
      <c r="D269" t="s">
        <v>45</v>
      </c>
      <c r="E269" t="s">
        <v>33</v>
      </c>
      <c r="F269" t="s">
        <v>34</v>
      </c>
      <c r="G269">
        <v>3</v>
      </c>
      <c r="H269">
        <v>90</v>
      </c>
      <c r="I269">
        <v>270</v>
      </c>
      <c r="J269" t="s">
        <v>79</v>
      </c>
      <c r="K269" t="s">
        <v>28</v>
      </c>
      <c r="L269" t="s">
        <v>56</v>
      </c>
    </row>
    <row r="270" spans="1:12" x14ac:dyDescent="0.3">
      <c r="A270" t="s">
        <v>774</v>
      </c>
      <c r="B270" t="s">
        <v>775</v>
      </c>
      <c r="C270" t="s">
        <v>776</v>
      </c>
      <c r="D270" t="s">
        <v>49</v>
      </c>
      <c r="E270" t="s">
        <v>64</v>
      </c>
      <c r="F270" t="s">
        <v>26</v>
      </c>
      <c r="G270">
        <v>4</v>
      </c>
      <c r="H270">
        <v>550</v>
      </c>
      <c r="I270">
        <v>2200</v>
      </c>
      <c r="J270" t="s">
        <v>72</v>
      </c>
      <c r="K270" t="s">
        <v>76</v>
      </c>
      <c r="L270" t="s">
        <v>20</v>
      </c>
    </row>
    <row r="271" spans="1:12" x14ac:dyDescent="0.3">
      <c r="A271" t="s">
        <v>777</v>
      </c>
      <c r="B271" t="s">
        <v>439</v>
      </c>
      <c r="C271" t="s">
        <v>778</v>
      </c>
      <c r="D271" t="s">
        <v>71</v>
      </c>
      <c r="E271" t="s">
        <v>104</v>
      </c>
      <c r="F271" t="s">
        <v>26</v>
      </c>
      <c r="G271">
        <v>5</v>
      </c>
      <c r="H271">
        <v>400</v>
      </c>
      <c r="I271">
        <v>2000</v>
      </c>
      <c r="J271" t="s">
        <v>18</v>
      </c>
      <c r="K271" t="s">
        <v>19</v>
      </c>
      <c r="L271" t="s">
        <v>41</v>
      </c>
    </row>
    <row r="272" spans="1:12" x14ac:dyDescent="0.3">
      <c r="A272" t="s">
        <v>779</v>
      </c>
      <c r="B272" t="s">
        <v>780</v>
      </c>
      <c r="C272" t="s">
        <v>781</v>
      </c>
      <c r="D272" t="s">
        <v>45</v>
      </c>
      <c r="E272" t="s">
        <v>33</v>
      </c>
      <c r="F272" t="s">
        <v>34</v>
      </c>
      <c r="G272">
        <v>1</v>
      </c>
      <c r="H272">
        <v>90</v>
      </c>
      <c r="I272">
        <v>90</v>
      </c>
      <c r="J272" t="s">
        <v>50</v>
      </c>
      <c r="K272" t="s">
        <v>28</v>
      </c>
      <c r="L272" t="s">
        <v>41</v>
      </c>
    </row>
    <row r="273" spans="1:12" x14ac:dyDescent="0.3">
      <c r="A273" t="s">
        <v>782</v>
      </c>
      <c r="B273" t="s">
        <v>783</v>
      </c>
      <c r="C273" t="s">
        <v>784</v>
      </c>
      <c r="D273" t="s">
        <v>71</v>
      </c>
      <c r="E273" t="s">
        <v>16</v>
      </c>
      <c r="F273" t="s">
        <v>17</v>
      </c>
      <c r="G273">
        <v>6</v>
      </c>
      <c r="H273">
        <v>300</v>
      </c>
      <c r="I273">
        <v>1800</v>
      </c>
      <c r="J273" t="s">
        <v>18</v>
      </c>
      <c r="K273" t="s">
        <v>19</v>
      </c>
      <c r="L273" t="s">
        <v>56</v>
      </c>
    </row>
    <row r="274" spans="1:12" x14ac:dyDescent="0.3">
      <c r="A274" t="s">
        <v>785</v>
      </c>
      <c r="B274" t="s">
        <v>598</v>
      </c>
      <c r="C274" t="s">
        <v>786</v>
      </c>
      <c r="D274" t="s">
        <v>71</v>
      </c>
      <c r="E274" t="s">
        <v>25</v>
      </c>
      <c r="F274" t="s">
        <v>26</v>
      </c>
      <c r="G274">
        <v>6</v>
      </c>
      <c r="H274">
        <v>750</v>
      </c>
      <c r="I274">
        <v>4500</v>
      </c>
      <c r="J274" t="s">
        <v>50</v>
      </c>
      <c r="K274" t="s">
        <v>28</v>
      </c>
      <c r="L274" t="s">
        <v>56</v>
      </c>
    </row>
    <row r="275" spans="1:12" x14ac:dyDescent="0.3">
      <c r="A275" t="s">
        <v>787</v>
      </c>
      <c r="B275" t="s">
        <v>166</v>
      </c>
      <c r="C275" t="s">
        <v>788</v>
      </c>
      <c r="D275" t="s">
        <v>83</v>
      </c>
      <c r="E275" t="s">
        <v>54</v>
      </c>
      <c r="F275" t="s">
        <v>17</v>
      </c>
      <c r="G275">
        <v>4</v>
      </c>
      <c r="H275">
        <v>150</v>
      </c>
      <c r="I275">
        <v>600</v>
      </c>
      <c r="J275" t="s">
        <v>27</v>
      </c>
      <c r="K275" t="s">
        <v>35</v>
      </c>
      <c r="L275" t="s">
        <v>41</v>
      </c>
    </row>
    <row r="276" spans="1:12" x14ac:dyDescent="0.3">
      <c r="A276" t="s">
        <v>789</v>
      </c>
      <c r="B276" t="s">
        <v>608</v>
      </c>
      <c r="C276" t="s">
        <v>790</v>
      </c>
      <c r="D276" t="s">
        <v>39</v>
      </c>
      <c r="E276" t="s">
        <v>25</v>
      </c>
      <c r="F276" t="s">
        <v>26</v>
      </c>
      <c r="G276">
        <v>3</v>
      </c>
      <c r="H276">
        <v>750</v>
      </c>
      <c r="I276">
        <v>2250</v>
      </c>
      <c r="J276" t="s">
        <v>79</v>
      </c>
      <c r="K276" t="s">
        <v>19</v>
      </c>
      <c r="L276" t="s">
        <v>41</v>
      </c>
    </row>
    <row r="277" spans="1:12" x14ac:dyDescent="0.3">
      <c r="A277" t="s">
        <v>791</v>
      </c>
      <c r="B277" t="s">
        <v>792</v>
      </c>
      <c r="C277" t="s">
        <v>793</v>
      </c>
      <c r="D277" t="s">
        <v>24</v>
      </c>
      <c r="E277" t="s">
        <v>33</v>
      </c>
      <c r="F277" t="s">
        <v>34</v>
      </c>
      <c r="G277">
        <v>3</v>
      </c>
      <c r="H277">
        <v>90</v>
      </c>
      <c r="I277">
        <v>270</v>
      </c>
      <c r="J277" t="s">
        <v>79</v>
      </c>
      <c r="K277" t="s">
        <v>35</v>
      </c>
      <c r="L277" t="s">
        <v>56</v>
      </c>
    </row>
    <row r="278" spans="1:12" x14ac:dyDescent="0.3">
      <c r="A278" t="s">
        <v>794</v>
      </c>
      <c r="B278" t="s">
        <v>795</v>
      </c>
      <c r="C278" t="s">
        <v>796</v>
      </c>
      <c r="D278" t="s">
        <v>143</v>
      </c>
      <c r="E278" t="s">
        <v>16</v>
      </c>
      <c r="F278" t="s">
        <v>17</v>
      </c>
      <c r="G278">
        <v>4</v>
      </c>
      <c r="H278">
        <v>300</v>
      </c>
      <c r="I278">
        <v>1200</v>
      </c>
      <c r="J278" t="s">
        <v>40</v>
      </c>
      <c r="K278" t="s">
        <v>76</v>
      </c>
      <c r="L278" t="s">
        <v>20</v>
      </c>
    </row>
    <row r="279" spans="1:12" x14ac:dyDescent="0.3">
      <c r="A279" t="s">
        <v>797</v>
      </c>
      <c r="B279" t="s">
        <v>488</v>
      </c>
      <c r="C279" t="s">
        <v>798</v>
      </c>
      <c r="D279" t="s">
        <v>32</v>
      </c>
      <c r="E279" t="s">
        <v>54</v>
      </c>
      <c r="F279" t="s">
        <v>17</v>
      </c>
      <c r="G279">
        <v>5</v>
      </c>
      <c r="H279">
        <v>150</v>
      </c>
      <c r="I279">
        <v>750</v>
      </c>
      <c r="J279" t="s">
        <v>27</v>
      </c>
      <c r="K279" t="s">
        <v>55</v>
      </c>
      <c r="L279" t="s">
        <v>56</v>
      </c>
    </row>
    <row r="280" spans="1:12" x14ac:dyDescent="0.3">
      <c r="A280" t="s">
        <v>799</v>
      </c>
      <c r="B280" t="s">
        <v>166</v>
      </c>
      <c r="C280" t="s">
        <v>800</v>
      </c>
      <c r="D280" t="s">
        <v>15</v>
      </c>
      <c r="E280" t="s">
        <v>64</v>
      </c>
      <c r="F280" t="s">
        <v>26</v>
      </c>
      <c r="G280">
        <v>2</v>
      </c>
      <c r="H280">
        <v>550</v>
      </c>
      <c r="I280">
        <v>1100</v>
      </c>
      <c r="J280" t="s">
        <v>27</v>
      </c>
      <c r="K280" t="s">
        <v>28</v>
      </c>
      <c r="L280" t="s">
        <v>56</v>
      </c>
    </row>
    <row r="281" spans="1:12" x14ac:dyDescent="0.3">
      <c r="A281" t="s">
        <v>801</v>
      </c>
      <c r="B281" t="s">
        <v>802</v>
      </c>
      <c r="C281" t="s">
        <v>803</v>
      </c>
      <c r="D281" t="s">
        <v>103</v>
      </c>
      <c r="E281" t="s">
        <v>16</v>
      </c>
      <c r="F281" t="s">
        <v>17</v>
      </c>
      <c r="G281">
        <v>1</v>
      </c>
      <c r="H281">
        <v>300</v>
      </c>
      <c r="I281">
        <v>300</v>
      </c>
      <c r="J281" t="s">
        <v>79</v>
      </c>
      <c r="K281" t="s">
        <v>19</v>
      </c>
      <c r="L281" t="s">
        <v>56</v>
      </c>
    </row>
    <row r="282" spans="1:12" x14ac:dyDescent="0.3">
      <c r="A282" t="s">
        <v>804</v>
      </c>
      <c r="B282" t="s">
        <v>805</v>
      </c>
      <c r="C282" t="s">
        <v>806</v>
      </c>
      <c r="D282" t="s">
        <v>49</v>
      </c>
      <c r="E282" t="s">
        <v>33</v>
      </c>
      <c r="F282" t="s">
        <v>34</v>
      </c>
      <c r="G282">
        <v>5</v>
      </c>
      <c r="H282">
        <v>90</v>
      </c>
      <c r="I282">
        <v>450</v>
      </c>
      <c r="J282" t="s">
        <v>18</v>
      </c>
      <c r="K282" t="s">
        <v>19</v>
      </c>
      <c r="L282" t="s">
        <v>56</v>
      </c>
    </row>
    <row r="283" spans="1:12" x14ac:dyDescent="0.3">
      <c r="A283" t="s">
        <v>807</v>
      </c>
      <c r="B283" t="s">
        <v>384</v>
      </c>
      <c r="C283" t="s">
        <v>808</v>
      </c>
      <c r="D283" t="s">
        <v>93</v>
      </c>
      <c r="E283" t="s">
        <v>54</v>
      </c>
      <c r="F283" t="s">
        <v>17</v>
      </c>
      <c r="G283">
        <v>4</v>
      </c>
      <c r="H283">
        <v>150</v>
      </c>
      <c r="I283">
        <v>600</v>
      </c>
      <c r="J283" t="s">
        <v>18</v>
      </c>
      <c r="K283" t="s">
        <v>35</v>
      </c>
      <c r="L283" t="s">
        <v>56</v>
      </c>
    </row>
    <row r="284" spans="1:12" x14ac:dyDescent="0.3">
      <c r="A284" t="s">
        <v>809</v>
      </c>
      <c r="B284" t="s">
        <v>810</v>
      </c>
      <c r="C284" t="s">
        <v>811</v>
      </c>
      <c r="D284" t="s">
        <v>83</v>
      </c>
      <c r="E284" t="s">
        <v>33</v>
      </c>
      <c r="F284" t="s">
        <v>34</v>
      </c>
      <c r="G284">
        <v>3</v>
      </c>
      <c r="H284">
        <v>90</v>
      </c>
      <c r="I284">
        <v>270</v>
      </c>
      <c r="J284" t="s">
        <v>27</v>
      </c>
      <c r="K284" t="s">
        <v>28</v>
      </c>
      <c r="L284" t="s">
        <v>20</v>
      </c>
    </row>
    <row r="285" spans="1:12" x14ac:dyDescent="0.3">
      <c r="A285" t="s">
        <v>812</v>
      </c>
      <c r="B285" t="s">
        <v>326</v>
      </c>
      <c r="C285" t="s">
        <v>813</v>
      </c>
      <c r="D285" t="s">
        <v>143</v>
      </c>
      <c r="E285" t="s">
        <v>54</v>
      </c>
      <c r="F285" t="s">
        <v>17</v>
      </c>
      <c r="G285">
        <v>5</v>
      </c>
      <c r="H285">
        <v>150</v>
      </c>
      <c r="I285">
        <v>750</v>
      </c>
      <c r="J285" t="s">
        <v>40</v>
      </c>
      <c r="K285" t="s">
        <v>28</v>
      </c>
      <c r="L285" t="s">
        <v>56</v>
      </c>
    </row>
    <row r="286" spans="1:12" x14ac:dyDescent="0.3">
      <c r="A286" t="s">
        <v>814</v>
      </c>
      <c r="B286" t="s">
        <v>815</v>
      </c>
      <c r="C286" t="s">
        <v>816</v>
      </c>
      <c r="D286" t="s">
        <v>83</v>
      </c>
      <c r="E286" t="s">
        <v>25</v>
      </c>
      <c r="F286" t="s">
        <v>26</v>
      </c>
      <c r="G286">
        <v>6</v>
      </c>
      <c r="H286">
        <v>750</v>
      </c>
      <c r="I286">
        <v>4500</v>
      </c>
      <c r="J286" t="s">
        <v>18</v>
      </c>
      <c r="K286" t="s">
        <v>19</v>
      </c>
      <c r="L286" t="s">
        <v>20</v>
      </c>
    </row>
    <row r="287" spans="1:12" x14ac:dyDescent="0.3">
      <c r="A287" t="s">
        <v>817</v>
      </c>
      <c r="B287" t="s">
        <v>52</v>
      </c>
      <c r="C287" t="s">
        <v>818</v>
      </c>
      <c r="D287" t="s">
        <v>45</v>
      </c>
      <c r="E287" t="s">
        <v>64</v>
      </c>
      <c r="F287" t="s">
        <v>26</v>
      </c>
      <c r="G287">
        <v>2</v>
      </c>
      <c r="H287">
        <v>550</v>
      </c>
      <c r="I287">
        <v>1100</v>
      </c>
      <c r="J287" t="s">
        <v>40</v>
      </c>
      <c r="K287" t="s">
        <v>19</v>
      </c>
      <c r="L287" t="s">
        <v>20</v>
      </c>
    </row>
    <row r="288" spans="1:12" x14ac:dyDescent="0.3">
      <c r="A288" t="s">
        <v>819</v>
      </c>
      <c r="B288" t="s">
        <v>413</v>
      </c>
      <c r="C288" t="s">
        <v>820</v>
      </c>
      <c r="D288" t="s">
        <v>24</v>
      </c>
      <c r="E288" t="s">
        <v>104</v>
      </c>
      <c r="F288" t="s">
        <v>26</v>
      </c>
      <c r="G288">
        <v>2</v>
      </c>
      <c r="H288">
        <v>400</v>
      </c>
      <c r="I288">
        <v>800</v>
      </c>
      <c r="J288" t="s">
        <v>50</v>
      </c>
      <c r="K288" t="s">
        <v>19</v>
      </c>
      <c r="L288" t="s">
        <v>56</v>
      </c>
    </row>
    <row r="289" spans="1:12" x14ac:dyDescent="0.3">
      <c r="A289" t="s">
        <v>821</v>
      </c>
      <c r="B289" t="s">
        <v>822</v>
      </c>
      <c r="C289" t="s">
        <v>823</v>
      </c>
      <c r="D289" t="s">
        <v>83</v>
      </c>
      <c r="E289" t="s">
        <v>64</v>
      </c>
      <c r="F289" t="s">
        <v>26</v>
      </c>
      <c r="G289">
        <v>3</v>
      </c>
      <c r="H289">
        <v>550</v>
      </c>
      <c r="I289">
        <v>1650</v>
      </c>
      <c r="J289" t="s">
        <v>72</v>
      </c>
      <c r="K289" t="s">
        <v>35</v>
      </c>
      <c r="L289" t="s">
        <v>56</v>
      </c>
    </row>
    <row r="290" spans="1:12" x14ac:dyDescent="0.3">
      <c r="A290" t="s">
        <v>824</v>
      </c>
      <c r="B290" t="s">
        <v>825</v>
      </c>
      <c r="C290" t="s">
        <v>826</v>
      </c>
      <c r="D290" t="s">
        <v>93</v>
      </c>
      <c r="E290" t="s">
        <v>16</v>
      </c>
      <c r="F290" t="s">
        <v>17</v>
      </c>
      <c r="G290">
        <v>2</v>
      </c>
      <c r="H290">
        <v>300</v>
      </c>
      <c r="I290">
        <v>600</v>
      </c>
      <c r="J290" t="s">
        <v>18</v>
      </c>
      <c r="K290" t="s">
        <v>55</v>
      </c>
      <c r="L290" t="s">
        <v>41</v>
      </c>
    </row>
    <row r="291" spans="1:12" x14ac:dyDescent="0.3">
      <c r="A291" t="s">
        <v>827</v>
      </c>
      <c r="B291" t="s">
        <v>828</v>
      </c>
      <c r="C291" t="s">
        <v>829</v>
      </c>
      <c r="D291" t="s">
        <v>39</v>
      </c>
      <c r="E291" t="s">
        <v>25</v>
      </c>
      <c r="F291" t="s">
        <v>26</v>
      </c>
      <c r="G291">
        <v>5</v>
      </c>
      <c r="H291">
        <v>750</v>
      </c>
      <c r="I291">
        <v>3750</v>
      </c>
      <c r="J291" t="s">
        <v>18</v>
      </c>
      <c r="K291" t="s">
        <v>76</v>
      </c>
      <c r="L291" t="s">
        <v>41</v>
      </c>
    </row>
    <row r="292" spans="1:12" x14ac:dyDescent="0.3">
      <c r="A292" t="s">
        <v>830</v>
      </c>
      <c r="B292" t="s">
        <v>831</v>
      </c>
      <c r="C292" t="s">
        <v>832</v>
      </c>
      <c r="D292" t="s">
        <v>71</v>
      </c>
      <c r="E292" t="s">
        <v>54</v>
      </c>
      <c r="F292" t="s">
        <v>17</v>
      </c>
      <c r="G292">
        <v>2</v>
      </c>
      <c r="H292">
        <v>150</v>
      </c>
      <c r="I292">
        <v>300</v>
      </c>
      <c r="J292" t="s">
        <v>40</v>
      </c>
      <c r="K292" t="s">
        <v>28</v>
      </c>
      <c r="L292" t="s">
        <v>56</v>
      </c>
    </row>
    <row r="293" spans="1:12" x14ac:dyDescent="0.3">
      <c r="A293" t="s">
        <v>833</v>
      </c>
      <c r="B293" t="s">
        <v>834</v>
      </c>
      <c r="C293" t="s">
        <v>835</v>
      </c>
      <c r="D293" t="s">
        <v>63</v>
      </c>
      <c r="E293" t="s">
        <v>104</v>
      </c>
      <c r="F293" t="s">
        <v>26</v>
      </c>
      <c r="G293">
        <v>2</v>
      </c>
      <c r="H293">
        <v>400</v>
      </c>
      <c r="I293">
        <v>800</v>
      </c>
      <c r="J293" t="s">
        <v>72</v>
      </c>
      <c r="K293" t="s">
        <v>28</v>
      </c>
      <c r="L293" t="s">
        <v>56</v>
      </c>
    </row>
    <row r="294" spans="1:12" x14ac:dyDescent="0.3">
      <c r="A294" t="s">
        <v>836</v>
      </c>
      <c r="B294" t="s">
        <v>191</v>
      </c>
      <c r="C294" t="s">
        <v>480</v>
      </c>
      <c r="D294" t="s">
        <v>71</v>
      </c>
      <c r="E294" t="s">
        <v>54</v>
      </c>
      <c r="F294" t="s">
        <v>17</v>
      </c>
      <c r="G294">
        <v>1</v>
      </c>
      <c r="H294">
        <v>150</v>
      </c>
      <c r="I294">
        <v>150</v>
      </c>
      <c r="J294" t="s">
        <v>27</v>
      </c>
      <c r="K294" t="s">
        <v>35</v>
      </c>
      <c r="L294" t="s">
        <v>56</v>
      </c>
    </row>
    <row r="295" spans="1:12" x14ac:dyDescent="0.3">
      <c r="A295" t="s">
        <v>837</v>
      </c>
      <c r="B295" t="s">
        <v>838</v>
      </c>
      <c r="C295" t="s">
        <v>839</v>
      </c>
      <c r="D295" t="s">
        <v>63</v>
      </c>
      <c r="E295" t="s">
        <v>16</v>
      </c>
      <c r="F295" t="s">
        <v>17</v>
      </c>
      <c r="G295">
        <v>3</v>
      </c>
      <c r="H295">
        <v>300</v>
      </c>
      <c r="I295">
        <v>900</v>
      </c>
      <c r="J295" t="s">
        <v>27</v>
      </c>
      <c r="K295" t="s">
        <v>35</v>
      </c>
      <c r="L295" t="s">
        <v>20</v>
      </c>
    </row>
    <row r="296" spans="1:12" x14ac:dyDescent="0.3">
      <c r="A296" t="s">
        <v>840</v>
      </c>
      <c r="B296" t="s">
        <v>841</v>
      </c>
      <c r="C296" t="s">
        <v>842</v>
      </c>
      <c r="D296" t="s">
        <v>103</v>
      </c>
      <c r="E296" t="s">
        <v>25</v>
      </c>
      <c r="F296" t="s">
        <v>26</v>
      </c>
      <c r="G296">
        <v>1</v>
      </c>
      <c r="H296">
        <v>750</v>
      </c>
      <c r="I296">
        <v>750</v>
      </c>
      <c r="J296" t="s">
        <v>72</v>
      </c>
      <c r="K296" t="s">
        <v>19</v>
      </c>
      <c r="L296" t="s">
        <v>20</v>
      </c>
    </row>
    <row r="297" spans="1:12" x14ac:dyDescent="0.3">
      <c r="A297" t="s">
        <v>843</v>
      </c>
      <c r="B297" t="s">
        <v>844</v>
      </c>
      <c r="C297" t="s">
        <v>845</v>
      </c>
      <c r="D297" t="s">
        <v>93</v>
      </c>
      <c r="E297" t="s">
        <v>25</v>
      </c>
      <c r="F297" t="s">
        <v>26</v>
      </c>
      <c r="G297">
        <v>2</v>
      </c>
      <c r="H297">
        <v>750</v>
      </c>
      <c r="I297">
        <v>1500</v>
      </c>
      <c r="J297" t="s">
        <v>18</v>
      </c>
      <c r="K297" t="s">
        <v>19</v>
      </c>
      <c r="L297" t="s">
        <v>56</v>
      </c>
    </row>
    <row r="298" spans="1:12" x14ac:dyDescent="0.3">
      <c r="A298" t="s">
        <v>846</v>
      </c>
      <c r="B298" t="s">
        <v>847</v>
      </c>
      <c r="C298" t="s">
        <v>848</v>
      </c>
      <c r="D298" t="s">
        <v>32</v>
      </c>
      <c r="E298" t="s">
        <v>25</v>
      </c>
      <c r="F298" t="s">
        <v>26</v>
      </c>
      <c r="G298">
        <v>4</v>
      </c>
      <c r="H298">
        <v>750</v>
      </c>
      <c r="I298">
        <v>3000</v>
      </c>
      <c r="J298" t="s">
        <v>72</v>
      </c>
      <c r="K298" t="s">
        <v>28</v>
      </c>
      <c r="L298" t="s">
        <v>20</v>
      </c>
    </row>
    <row r="299" spans="1:12" x14ac:dyDescent="0.3">
      <c r="A299" t="s">
        <v>849</v>
      </c>
      <c r="B299" t="s">
        <v>575</v>
      </c>
      <c r="C299" t="s">
        <v>850</v>
      </c>
      <c r="D299" t="s">
        <v>83</v>
      </c>
      <c r="E299" t="s">
        <v>104</v>
      </c>
      <c r="F299" t="s">
        <v>26</v>
      </c>
      <c r="G299">
        <v>5</v>
      </c>
      <c r="H299">
        <v>400</v>
      </c>
      <c r="I299">
        <v>2000</v>
      </c>
      <c r="J299" t="s">
        <v>72</v>
      </c>
      <c r="K299" t="s">
        <v>28</v>
      </c>
      <c r="L299" t="s">
        <v>41</v>
      </c>
    </row>
    <row r="300" spans="1:12" x14ac:dyDescent="0.3">
      <c r="A300" t="s">
        <v>851</v>
      </c>
      <c r="B300" t="s">
        <v>518</v>
      </c>
      <c r="C300" t="s">
        <v>852</v>
      </c>
      <c r="D300" t="s">
        <v>49</v>
      </c>
      <c r="E300" t="s">
        <v>64</v>
      </c>
      <c r="F300" t="s">
        <v>26</v>
      </c>
      <c r="G300">
        <v>2</v>
      </c>
      <c r="H300">
        <v>550</v>
      </c>
      <c r="I300">
        <v>1100</v>
      </c>
      <c r="J300" t="s">
        <v>79</v>
      </c>
      <c r="K300" t="s">
        <v>19</v>
      </c>
      <c r="L300" t="s">
        <v>20</v>
      </c>
    </row>
    <row r="301" spans="1:12" x14ac:dyDescent="0.3">
      <c r="A301" t="s">
        <v>853</v>
      </c>
      <c r="B301" t="s">
        <v>562</v>
      </c>
      <c r="C301" t="s">
        <v>854</v>
      </c>
      <c r="D301" t="s">
        <v>49</v>
      </c>
      <c r="E301" t="s">
        <v>104</v>
      </c>
      <c r="F301" t="s">
        <v>26</v>
      </c>
      <c r="G301">
        <v>1</v>
      </c>
      <c r="H301">
        <v>400</v>
      </c>
      <c r="I301">
        <v>400</v>
      </c>
      <c r="J301" t="s">
        <v>18</v>
      </c>
      <c r="K301" t="s">
        <v>19</v>
      </c>
      <c r="L301" t="s">
        <v>20</v>
      </c>
    </row>
    <row r="302" spans="1:12" x14ac:dyDescent="0.3">
      <c r="A302" t="s">
        <v>855</v>
      </c>
      <c r="B302" t="s">
        <v>856</v>
      </c>
      <c r="C302" t="s">
        <v>857</v>
      </c>
      <c r="D302" t="s">
        <v>71</v>
      </c>
      <c r="E302" t="s">
        <v>33</v>
      </c>
      <c r="F302" t="s">
        <v>34</v>
      </c>
      <c r="G302">
        <v>6</v>
      </c>
      <c r="H302">
        <v>90</v>
      </c>
      <c r="I302">
        <v>540</v>
      </c>
      <c r="J302" t="s">
        <v>18</v>
      </c>
      <c r="K302" t="s">
        <v>28</v>
      </c>
      <c r="L302" t="s">
        <v>41</v>
      </c>
    </row>
    <row r="303" spans="1:12" x14ac:dyDescent="0.3">
      <c r="A303" t="s">
        <v>858</v>
      </c>
      <c r="B303" t="s">
        <v>619</v>
      </c>
      <c r="C303" t="s">
        <v>859</v>
      </c>
      <c r="D303" t="s">
        <v>103</v>
      </c>
      <c r="E303" t="s">
        <v>54</v>
      </c>
      <c r="F303" t="s">
        <v>17</v>
      </c>
      <c r="G303">
        <v>3</v>
      </c>
      <c r="H303">
        <v>150</v>
      </c>
      <c r="I303">
        <v>450</v>
      </c>
      <c r="J303" t="s">
        <v>79</v>
      </c>
      <c r="K303" t="s">
        <v>76</v>
      </c>
      <c r="L303" t="s">
        <v>41</v>
      </c>
    </row>
    <row r="304" spans="1:12" x14ac:dyDescent="0.3">
      <c r="A304" t="s">
        <v>860</v>
      </c>
      <c r="B304" t="s">
        <v>74</v>
      </c>
      <c r="C304" t="s">
        <v>861</v>
      </c>
      <c r="D304" t="s">
        <v>143</v>
      </c>
      <c r="E304" t="s">
        <v>33</v>
      </c>
      <c r="F304" t="s">
        <v>34</v>
      </c>
      <c r="G304">
        <v>3</v>
      </c>
      <c r="H304">
        <v>90</v>
      </c>
      <c r="I304">
        <v>270</v>
      </c>
      <c r="J304" t="s">
        <v>50</v>
      </c>
      <c r="K304" t="s">
        <v>35</v>
      </c>
      <c r="L304" t="s">
        <v>56</v>
      </c>
    </row>
    <row r="305" spans="1:12" x14ac:dyDescent="0.3">
      <c r="A305" t="s">
        <v>862</v>
      </c>
      <c r="B305" t="s">
        <v>863</v>
      </c>
      <c r="C305" t="s">
        <v>864</v>
      </c>
      <c r="D305" t="s">
        <v>15</v>
      </c>
      <c r="E305" t="s">
        <v>25</v>
      </c>
      <c r="F305" t="s">
        <v>26</v>
      </c>
      <c r="G305">
        <v>1</v>
      </c>
      <c r="H305">
        <v>750</v>
      </c>
      <c r="I305">
        <v>750</v>
      </c>
      <c r="J305" t="s">
        <v>79</v>
      </c>
      <c r="K305" t="s">
        <v>19</v>
      </c>
      <c r="L305" t="s">
        <v>20</v>
      </c>
    </row>
    <row r="306" spans="1:12" x14ac:dyDescent="0.3">
      <c r="A306" t="s">
        <v>865</v>
      </c>
      <c r="B306" t="s">
        <v>191</v>
      </c>
      <c r="C306" t="s">
        <v>866</v>
      </c>
      <c r="D306" t="s">
        <v>39</v>
      </c>
      <c r="E306" t="s">
        <v>104</v>
      </c>
      <c r="F306" t="s">
        <v>26</v>
      </c>
      <c r="G306">
        <v>2</v>
      </c>
      <c r="H306">
        <v>400</v>
      </c>
      <c r="I306">
        <v>800</v>
      </c>
      <c r="J306" t="s">
        <v>27</v>
      </c>
      <c r="K306" t="s">
        <v>55</v>
      </c>
      <c r="L306" t="s">
        <v>56</v>
      </c>
    </row>
    <row r="307" spans="1:12" x14ac:dyDescent="0.3">
      <c r="A307" t="s">
        <v>867</v>
      </c>
      <c r="B307" t="s">
        <v>810</v>
      </c>
      <c r="C307" t="s">
        <v>868</v>
      </c>
      <c r="D307" t="s">
        <v>83</v>
      </c>
      <c r="E307" t="s">
        <v>16</v>
      </c>
      <c r="F307" t="s">
        <v>17</v>
      </c>
      <c r="G307">
        <v>1</v>
      </c>
      <c r="H307">
        <v>300</v>
      </c>
      <c r="I307">
        <v>300</v>
      </c>
      <c r="J307" t="s">
        <v>50</v>
      </c>
      <c r="K307" t="s">
        <v>28</v>
      </c>
      <c r="L307" t="s">
        <v>56</v>
      </c>
    </row>
    <row r="308" spans="1:12" x14ac:dyDescent="0.3">
      <c r="A308" t="s">
        <v>869</v>
      </c>
      <c r="B308" t="s">
        <v>222</v>
      </c>
      <c r="C308" t="s">
        <v>870</v>
      </c>
      <c r="D308" t="s">
        <v>93</v>
      </c>
      <c r="E308" t="s">
        <v>16</v>
      </c>
      <c r="F308" t="s">
        <v>17</v>
      </c>
      <c r="G308">
        <v>1</v>
      </c>
      <c r="H308">
        <v>300</v>
      </c>
      <c r="I308">
        <v>300</v>
      </c>
      <c r="J308" t="s">
        <v>79</v>
      </c>
      <c r="K308" t="s">
        <v>55</v>
      </c>
      <c r="L308" t="s">
        <v>41</v>
      </c>
    </row>
    <row r="309" spans="1:12" x14ac:dyDescent="0.3">
      <c r="A309" t="s">
        <v>871</v>
      </c>
      <c r="B309" t="s">
        <v>387</v>
      </c>
      <c r="C309" t="s">
        <v>872</v>
      </c>
      <c r="D309" t="s">
        <v>24</v>
      </c>
      <c r="E309" t="s">
        <v>64</v>
      </c>
      <c r="F309" t="s">
        <v>26</v>
      </c>
      <c r="G309">
        <v>2</v>
      </c>
      <c r="H309">
        <v>550</v>
      </c>
      <c r="I309">
        <v>1100</v>
      </c>
      <c r="J309" t="s">
        <v>18</v>
      </c>
      <c r="K309" t="s">
        <v>19</v>
      </c>
      <c r="L309" t="s">
        <v>41</v>
      </c>
    </row>
    <row r="310" spans="1:12" x14ac:dyDescent="0.3">
      <c r="A310" t="s">
        <v>873</v>
      </c>
      <c r="B310" t="s">
        <v>278</v>
      </c>
      <c r="C310" t="s">
        <v>874</v>
      </c>
      <c r="D310" t="s">
        <v>32</v>
      </c>
      <c r="E310" t="s">
        <v>64</v>
      </c>
      <c r="F310" t="s">
        <v>26</v>
      </c>
      <c r="G310">
        <v>1</v>
      </c>
      <c r="H310">
        <v>550</v>
      </c>
      <c r="I310">
        <v>550</v>
      </c>
      <c r="J310" t="s">
        <v>72</v>
      </c>
      <c r="K310" t="s">
        <v>55</v>
      </c>
      <c r="L310" t="s">
        <v>56</v>
      </c>
    </row>
    <row r="311" spans="1:12" x14ac:dyDescent="0.3">
      <c r="A311" t="s">
        <v>875</v>
      </c>
      <c r="B311" t="s">
        <v>876</v>
      </c>
      <c r="C311" t="s">
        <v>877</v>
      </c>
      <c r="D311" t="s">
        <v>15</v>
      </c>
      <c r="E311" t="s">
        <v>54</v>
      </c>
      <c r="F311" t="s">
        <v>17</v>
      </c>
      <c r="G311">
        <v>5</v>
      </c>
      <c r="H311">
        <v>150</v>
      </c>
      <c r="I311">
        <v>750</v>
      </c>
      <c r="J311" t="s">
        <v>79</v>
      </c>
      <c r="K311" t="s">
        <v>19</v>
      </c>
      <c r="L311" t="s">
        <v>41</v>
      </c>
    </row>
    <row r="312" spans="1:12" x14ac:dyDescent="0.3">
      <c r="A312" t="s">
        <v>878</v>
      </c>
      <c r="B312" t="s">
        <v>879</v>
      </c>
      <c r="C312" t="s">
        <v>880</v>
      </c>
      <c r="D312" t="s">
        <v>63</v>
      </c>
      <c r="E312" t="s">
        <v>33</v>
      </c>
      <c r="F312" t="s">
        <v>34</v>
      </c>
      <c r="G312">
        <v>5</v>
      </c>
      <c r="H312">
        <v>90</v>
      </c>
      <c r="I312">
        <v>450</v>
      </c>
      <c r="J312" t="s">
        <v>72</v>
      </c>
      <c r="K312" t="s">
        <v>35</v>
      </c>
      <c r="L312" t="s">
        <v>20</v>
      </c>
    </row>
    <row r="313" spans="1:12" x14ac:dyDescent="0.3">
      <c r="A313" t="s">
        <v>881</v>
      </c>
      <c r="B313" t="s">
        <v>543</v>
      </c>
      <c r="C313" t="s">
        <v>882</v>
      </c>
      <c r="D313" t="s">
        <v>83</v>
      </c>
      <c r="E313" t="s">
        <v>33</v>
      </c>
      <c r="F313" t="s">
        <v>34</v>
      </c>
      <c r="G313">
        <v>1</v>
      </c>
      <c r="H313">
        <v>90</v>
      </c>
      <c r="I313">
        <v>90</v>
      </c>
      <c r="J313" t="s">
        <v>72</v>
      </c>
      <c r="K313" t="s">
        <v>35</v>
      </c>
      <c r="L313" t="s">
        <v>56</v>
      </c>
    </row>
    <row r="314" spans="1:12" x14ac:dyDescent="0.3">
      <c r="A314" t="s">
        <v>883</v>
      </c>
      <c r="B314" t="s">
        <v>575</v>
      </c>
      <c r="C314" t="s">
        <v>884</v>
      </c>
      <c r="D314" t="s">
        <v>143</v>
      </c>
      <c r="E314" t="s">
        <v>54</v>
      </c>
      <c r="F314" t="s">
        <v>17</v>
      </c>
      <c r="G314">
        <v>1</v>
      </c>
      <c r="H314">
        <v>150</v>
      </c>
      <c r="I314">
        <v>150</v>
      </c>
      <c r="J314" t="s">
        <v>40</v>
      </c>
      <c r="K314" t="s">
        <v>28</v>
      </c>
      <c r="L314" t="s">
        <v>56</v>
      </c>
    </row>
    <row r="315" spans="1:12" x14ac:dyDescent="0.3">
      <c r="A315" t="s">
        <v>885</v>
      </c>
      <c r="B315" t="s">
        <v>293</v>
      </c>
      <c r="C315" t="s">
        <v>886</v>
      </c>
      <c r="D315" t="s">
        <v>15</v>
      </c>
      <c r="E315" t="s">
        <v>54</v>
      </c>
      <c r="F315" t="s">
        <v>17</v>
      </c>
      <c r="G315">
        <v>2</v>
      </c>
      <c r="H315">
        <v>150</v>
      </c>
      <c r="I315">
        <v>300</v>
      </c>
      <c r="J315" t="s">
        <v>72</v>
      </c>
      <c r="K315" t="s">
        <v>76</v>
      </c>
      <c r="L315" t="s">
        <v>56</v>
      </c>
    </row>
    <row r="316" spans="1:12" x14ac:dyDescent="0.3">
      <c r="A316" t="s">
        <v>887</v>
      </c>
      <c r="B316" t="s">
        <v>888</v>
      </c>
      <c r="C316" t="s">
        <v>889</v>
      </c>
      <c r="D316" t="s">
        <v>103</v>
      </c>
      <c r="E316" t="s">
        <v>104</v>
      </c>
      <c r="F316" t="s">
        <v>26</v>
      </c>
      <c r="G316">
        <v>2</v>
      </c>
      <c r="H316">
        <v>400</v>
      </c>
      <c r="I316">
        <v>800</v>
      </c>
      <c r="J316" t="s">
        <v>27</v>
      </c>
      <c r="K316" t="s">
        <v>19</v>
      </c>
      <c r="L316" t="s">
        <v>41</v>
      </c>
    </row>
    <row r="317" spans="1:12" x14ac:dyDescent="0.3">
      <c r="A317" t="s">
        <v>890</v>
      </c>
      <c r="B317" t="s">
        <v>154</v>
      </c>
      <c r="C317" t="s">
        <v>891</v>
      </c>
      <c r="D317" t="s">
        <v>103</v>
      </c>
      <c r="E317" t="s">
        <v>104</v>
      </c>
      <c r="F317" t="s">
        <v>26</v>
      </c>
      <c r="G317">
        <v>3</v>
      </c>
      <c r="H317">
        <v>400</v>
      </c>
      <c r="I317">
        <v>1200</v>
      </c>
      <c r="J317" t="s">
        <v>50</v>
      </c>
      <c r="K317" t="s">
        <v>19</v>
      </c>
      <c r="L317" t="s">
        <v>41</v>
      </c>
    </row>
    <row r="318" spans="1:12" x14ac:dyDescent="0.3">
      <c r="A318" t="s">
        <v>892</v>
      </c>
      <c r="B318" t="s">
        <v>194</v>
      </c>
      <c r="C318" t="s">
        <v>893</v>
      </c>
      <c r="D318" t="s">
        <v>63</v>
      </c>
      <c r="E318" t="s">
        <v>54</v>
      </c>
      <c r="F318" t="s">
        <v>17</v>
      </c>
      <c r="G318">
        <v>2</v>
      </c>
      <c r="H318">
        <v>150</v>
      </c>
      <c r="I318">
        <v>300</v>
      </c>
      <c r="J318" t="s">
        <v>72</v>
      </c>
      <c r="K318" t="s">
        <v>55</v>
      </c>
      <c r="L318" t="s">
        <v>56</v>
      </c>
    </row>
    <row r="319" spans="1:12" x14ac:dyDescent="0.3">
      <c r="A319" t="s">
        <v>894</v>
      </c>
      <c r="B319" t="s">
        <v>895</v>
      </c>
      <c r="C319" t="s">
        <v>67</v>
      </c>
      <c r="D319" t="s">
        <v>15</v>
      </c>
      <c r="E319" t="s">
        <v>54</v>
      </c>
      <c r="F319" t="s">
        <v>17</v>
      </c>
      <c r="G319">
        <v>2</v>
      </c>
      <c r="H319">
        <v>150</v>
      </c>
      <c r="I319">
        <v>300</v>
      </c>
      <c r="J319" t="s">
        <v>79</v>
      </c>
      <c r="K319" t="s">
        <v>55</v>
      </c>
      <c r="L319" t="s">
        <v>41</v>
      </c>
    </row>
    <row r="320" spans="1:12" x14ac:dyDescent="0.3">
      <c r="A320" t="s">
        <v>896</v>
      </c>
      <c r="B320" t="s">
        <v>169</v>
      </c>
      <c r="C320" t="s">
        <v>897</v>
      </c>
      <c r="D320" t="s">
        <v>15</v>
      </c>
      <c r="E320" t="s">
        <v>25</v>
      </c>
      <c r="F320" t="s">
        <v>26</v>
      </c>
      <c r="G320">
        <v>5</v>
      </c>
      <c r="H320">
        <v>750</v>
      </c>
      <c r="I320">
        <v>3750</v>
      </c>
      <c r="J320" t="s">
        <v>50</v>
      </c>
      <c r="K320" t="s">
        <v>35</v>
      </c>
      <c r="L320" t="s">
        <v>56</v>
      </c>
    </row>
    <row r="321" spans="1:12" x14ac:dyDescent="0.3">
      <c r="A321" t="s">
        <v>898</v>
      </c>
      <c r="B321" t="s">
        <v>899</v>
      </c>
      <c r="C321" t="s">
        <v>900</v>
      </c>
      <c r="D321" t="s">
        <v>143</v>
      </c>
      <c r="E321" t="s">
        <v>33</v>
      </c>
      <c r="F321" t="s">
        <v>34</v>
      </c>
      <c r="G321">
        <v>3</v>
      </c>
      <c r="H321">
        <v>90</v>
      </c>
      <c r="I321">
        <v>270</v>
      </c>
      <c r="J321" t="s">
        <v>40</v>
      </c>
      <c r="K321" t="s">
        <v>35</v>
      </c>
      <c r="L321" t="s">
        <v>20</v>
      </c>
    </row>
    <row r="322" spans="1:12" x14ac:dyDescent="0.3">
      <c r="A322" t="s">
        <v>901</v>
      </c>
      <c r="B322" t="s">
        <v>902</v>
      </c>
      <c r="C322" t="s">
        <v>903</v>
      </c>
      <c r="D322" t="s">
        <v>39</v>
      </c>
      <c r="E322" t="s">
        <v>54</v>
      </c>
      <c r="F322" t="s">
        <v>17</v>
      </c>
      <c r="G322">
        <v>2</v>
      </c>
      <c r="H322">
        <v>150</v>
      </c>
      <c r="I322">
        <v>300</v>
      </c>
      <c r="J322" t="s">
        <v>50</v>
      </c>
      <c r="K322" t="s">
        <v>55</v>
      </c>
      <c r="L322" t="s">
        <v>56</v>
      </c>
    </row>
    <row r="323" spans="1:12" x14ac:dyDescent="0.3">
      <c r="A323" t="s">
        <v>904</v>
      </c>
      <c r="B323" t="s">
        <v>228</v>
      </c>
      <c r="C323" t="s">
        <v>905</v>
      </c>
      <c r="D323" t="s">
        <v>103</v>
      </c>
      <c r="E323" t="s">
        <v>33</v>
      </c>
      <c r="F323" t="s">
        <v>34</v>
      </c>
      <c r="G323">
        <v>2</v>
      </c>
      <c r="H323">
        <v>90</v>
      </c>
      <c r="I323">
        <v>180</v>
      </c>
      <c r="J323" t="s">
        <v>50</v>
      </c>
      <c r="K323" t="s">
        <v>28</v>
      </c>
      <c r="L323" t="s">
        <v>20</v>
      </c>
    </row>
    <row r="324" spans="1:12" x14ac:dyDescent="0.3">
      <c r="A324" t="s">
        <v>906</v>
      </c>
      <c r="B324" t="s">
        <v>907</v>
      </c>
      <c r="C324" t="s">
        <v>908</v>
      </c>
      <c r="D324" t="s">
        <v>45</v>
      </c>
      <c r="E324" t="s">
        <v>54</v>
      </c>
      <c r="F324" t="s">
        <v>17</v>
      </c>
      <c r="G324">
        <v>3</v>
      </c>
      <c r="H324">
        <v>150</v>
      </c>
      <c r="I324">
        <v>450</v>
      </c>
      <c r="J324" t="s">
        <v>79</v>
      </c>
      <c r="K324" t="s">
        <v>28</v>
      </c>
      <c r="L324" t="s">
        <v>41</v>
      </c>
    </row>
    <row r="325" spans="1:12" x14ac:dyDescent="0.3">
      <c r="A325" t="s">
        <v>909</v>
      </c>
      <c r="B325" t="s">
        <v>267</v>
      </c>
      <c r="C325" t="s">
        <v>910</v>
      </c>
      <c r="D325" t="s">
        <v>143</v>
      </c>
      <c r="E325" t="s">
        <v>104</v>
      </c>
      <c r="F325" t="s">
        <v>26</v>
      </c>
      <c r="G325">
        <v>5</v>
      </c>
      <c r="H325">
        <v>400</v>
      </c>
      <c r="I325">
        <v>2000</v>
      </c>
      <c r="J325" t="s">
        <v>50</v>
      </c>
      <c r="K325" t="s">
        <v>55</v>
      </c>
      <c r="L325" t="s">
        <v>41</v>
      </c>
    </row>
    <row r="326" spans="1:12" x14ac:dyDescent="0.3">
      <c r="A326" t="s">
        <v>911</v>
      </c>
      <c r="B326" t="s">
        <v>912</v>
      </c>
      <c r="C326" t="s">
        <v>913</v>
      </c>
      <c r="D326" t="s">
        <v>45</v>
      </c>
      <c r="E326" t="s">
        <v>54</v>
      </c>
      <c r="F326" t="s">
        <v>17</v>
      </c>
      <c r="G326">
        <v>3</v>
      </c>
      <c r="H326">
        <v>150</v>
      </c>
      <c r="I326">
        <v>450</v>
      </c>
      <c r="J326" t="s">
        <v>50</v>
      </c>
      <c r="K326" t="s">
        <v>76</v>
      </c>
      <c r="L326" t="s">
        <v>20</v>
      </c>
    </row>
    <row r="327" spans="1:12" x14ac:dyDescent="0.3">
      <c r="A327" t="s">
        <v>914</v>
      </c>
      <c r="B327" t="s">
        <v>654</v>
      </c>
      <c r="C327" t="s">
        <v>915</v>
      </c>
      <c r="D327" t="s">
        <v>24</v>
      </c>
      <c r="E327" t="s">
        <v>54</v>
      </c>
      <c r="F327" t="s">
        <v>17</v>
      </c>
      <c r="G327">
        <v>3</v>
      </c>
      <c r="H327">
        <v>150</v>
      </c>
      <c r="I327">
        <v>450</v>
      </c>
      <c r="J327" t="s">
        <v>72</v>
      </c>
      <c r="K327" t="s">
        <v>55</v>
      </c>
      <c r="L327" t="s">
        <v>56</v>
      </c>
    </row>
    <row r="328" spans="1:12" x14ac:dyDescent="0.3">
      <c r="A328" t="s">
        <v>916</v>
      </c>
      <c r="B328" t="s">
        <v>206</v>
      </c>
      <c r="C328" t="s">
        <v>917</v>
      </c>
      <c r="D328" t="s">
        <v>45</v>
      </c>
      <c r="E328" t="s">
        <v>64</v>
      </c>
      <c r="F328" t="s">
        <v>26</v>
      </c>
      <c r="G328">
        <v>1</v>
      </c>
      <c r="H328">
        <v>550</v>
      </c>
      <c r="I328">
        <v>550</v>
      </c>
      <c r="J328" t="s">
        <v>50</v>
      </c>
      <c r="K328" t="s">
        <v>28</v>
      </c>
      <c r="L328" t="s">
        <v>41</v>
      </c>
    </row>
    <row r="329" spans="1:12" x14ac:dyDescent="0.3">
      <c r="A329" t="s">
        <v>918</v>
      </c>
      <c r="B329" t="s">
        <v>919</v>
      </c>
      <c r="C329" t="s">
        <v>920</v>
      </c>
      <c r="D329" t="s">
        <v>45</v>
      </c>
      <c r="E329" t="s">
        <v>25</v>
      </c>
      <c r="F329" t="s">
        <v>26</v>
      </c>
      <c r="G329">
        <v>5</v>
      </c>
      <c r="H329">
        <v>750</v>
      </c>
      <c r="I329">
        <v>3750</v>
      </c>
      <c r="J329" t="s">
        <v>50</v>
      </c>
      <c r="K329" t="s">
        <v>35</v>
      </c>
      <c r="L329" t="s">
        <v>41</v>
      </c>
    </row>
    <row r="330" spans="1:12" x14ac:dyDescent="0.3">
      <c r="A330" t="s">
        <v>921</v>
      </c>
      <c r="B330" t="s">
        <v>922</v>
      </c>
      <c r="C330" t="s">
        <v>923</v>
      </c>
      <c r="D330" t="s">
        <v>32</v>
      </c>
      <c r="E330" t="s">
        <v>104</v>
      </c>
      <c r="F330" t="s">
        <v>26</v>
      </c>
      <c r="G330">
        <v>1</v>
      </c>
      <c r="H330">
        <v>400</v>
      </c>
      <c r="I330">
        <v>400</v>
      </c>
      <c r="J330" t="s">
        <v>27</v>
      </c>
      <c r="K330" t="s">
        <v>76</v>
      </c>
      <c r="L330" t="s">
        <v>56</v>
      </c>
    </row>
    <row r="331" spans="1:12" x14ac:dyDescent="0.3">
      <c r="A331" t="s">
        <v>924</v>
      </c>
      <c r="B331" t="s">
        <v>925</v>
      </c>
      <c r="C331" t="s">
        <v>926</v>
      </c>
      <c r="D331" t="s">
        <v>24</v>
      </c>
      <c r="E331" t="s">
        <v>33</v>
      </c>
      <c r="F331" t="s">
        <v>34</v>
      </c>
      <c r="G331">
        <v>1</v>
      </c>
      <c r="H331">
        <v>90</v>
      </c>
      <c r="I331">
        <v>90</v>
      </c>
      <c r="J331" t="s">
        <v>50</v>
      </c>
      <c r="K331" t="s">
        <v>35</v>
      </c>
      <c r="L331" t="s">
        <v>20</v>
      </c>
    </row>
    <row r="332" spans="1:12" x14ac:dyDescent="0.3">
      <c r="A332" t="s">
        <v>927</v>
      </c>
      <c r="B332" t="s">
        <v>735</v>
      </c>
      <c r="C332" t="s">
        <v>928</v>
      </c>
      <c r="D332" t="s">
        <v>49</v>
      </c>
      <c r="E332" t="s">
        <v>64</v>
      </c>
      <c r="F332" t="s">
        <v>26</v>
      </c>
      <c r="G332">
        <v>6</v>
      </c>
      <c r="H332">
        <v>550</v>
      </c>
      <c r="I332">
        <v>3300</v>
      </c>
      <c r="J332" t="s">
        <v>79</v>
      </c>
      <c r="K332" t="s">
        <v>55</v>
      </c>
      <c r="L332" t="s">
        <v>20</v>
      </c>
    </row>
    <row r="333" spans="1:12" x14ac:dyDescent="0.3">
      <c r="A333" t="s">
        <v>929</v>
      </c>
      <c r="B333" t="s">
        <v>669</v>
      </c>
      <c r="C333" t="s">
        <v>930</v>
      </c>
      <c r="D333" t="s">
        <v>93</v>
      </c>
      <c r="E333" t="s">
        <v>33</v>
      </c>
      <c r="F333" t="s">
        <v>34</v>
      </c>
      <c r="G333">
        <v>4</v>
      </c>
      <c r="H333">
        <v>90</v>
      </c>
      <c r="I333">
        <v>360</v>
      </c>
      <c r="J333" t="s">
        <v>40</v>
      </c>
      <c r="K333" t="s">
        <v>19</v>
      </c>
      <c r="L333" t="s">
        <v>41</v>
      </c>
    </row>
    <row r="334" spans="1:12" x14ac:dyDescent="0.3">
      <c r="A334" t="s">
        <v>931</v>
      </c>
      <c r="B334" t="s">
        <v>732</v>
      </c>
      <c r="C334" t="s">
        <v>932</v>
      </c>
      <c r="D334" t="s">
        <v>71</v>
      </c>
      <c r="E334" t="s">
        <v>25</v>
      </c>
      <c r="F334" t="s">
        <v>26</v>
      </c>
      <c r="G334">
        <v>4</v>
      </c>
      <c r="H334">
        <v>750</v>
      </c>
      <c r="I334">
        <v>3000</v>
      </c>
      <c r="J334" t="s">
        <v>50</v>
      </c>
      <c r="K334" t="s">
        <v>76</v>
      </c>
      <c r="L334" t="s">
        <v>56</v>
      </c>
    </row>
    <row r="335" spans="1:12" x14ac:dyDescent="0.3">
      <c r="A335" t="s">
        <v>933</v>
      </c>
      <c r="B335" t="s">
        <v>505</v>
      </c>
      <c r="C335" t="s">
        <v>934</v>
      </c>
      <c r="D335" t="s">
        <v>24</v>
      </c>
      <c r="E335" t="s">
        <v>25</v>
      </c>
      <c r="F335" t="s">
        <v>26</v>
      </c>
      <c r="G335">
        <v>2</v>
      </c>
      <c r="H335">
        <v>750</v>
      </c>
      <c r="I335">
        <v>1500</v>
      </c>
      <c r="J335" t="s">
        <v>18</v>
      </c>
      <c r="K335" t="s">
        <v>28</v>
      </c>
      <c r="L335" t="s">
        <v>56</v>
      </c>
    </row>
    <row r="336" spans="1:12" x14ac:dyDescent="0.3">
      <c r="A336" t="s">
        <v>935</v>
      </c>
      <c r="B336" t="s">
        <v>499</v>
      </c>
      <c r="C336" t="s">
        <v>936</v>
      </c>
      <c r="D336" t="s">
        <v>24</v>
      </c>
      <c r="E336" t="s">
        <v>33</v>
      </c>
      <c r="F336" t="s">
        <v>34</v>
      </c>
      <c r="G336">
        <v>4</v>
      </c>
      <c r="H336">
        <v>90</v>
      </c>
      <c r="I336">
        <v>360</v>
      </c>
      <c r="J336" t="s">
        <v>27</v>
      </c>
      <c r="K336" t="s">
        <v>19</v>
      </c>
      <c r="L336" t="s">
        <v>56</v>
      </c>
    </row>
    <row r="337" spans="1:12" x14ac:dyDescent="0.3">
      <c r="A337" t="s">
        <v>937</v>
      </c>
      <c r="B337" t="s">
        <v>91</v>
      </c>
      <c r="C337" t="s">
        <v>938</v>
      </c>
      <c r="D337" t="s">
        <v>39</v>
      </c>
      <c r="E337" t="s">
        <v>25</v>
      </c>
      <c r="F337" t="s">
        <v>26</v>
      </c>
      <c r="G337">
        <v>4</v>
      </c>
      <c r="H337">
        <v>750</v>
      </c>
      <c r="I337">
        <v>3000</v>
      </c>
      <c r="J337" t="s">
        <v>40</v>
      </c>
      <c r="K337" t="s">
        <v>28</v>
      </c>
      <c r="L337" t="s">
        <v>41</v>
      </c>
    </row>
    <row r="338" spans="1:12" x14ac:dyDescent="0.3">
      <c r="A338" t="s">
        <v>939</v>
      </c>
      <c r="B338" t="s">
        <v>663</v>
      </c>
      <c r="C338" t="s">
        <v>372</v>
      </c>
      <c r="D338" t="s">
        <v>83</v>
      </c>
      <c r="E338" t="s">
        <v>64</v>
      </c>
      <c r="F338" t="s">
        <v>26</v>
      </c>
      <c r="G338">
        <v>2</v>
      </c>
      <c r="H338">
        <v>550</v>
      </c>
      <c r="I338">
        <v>1100</v>
      </c>
      <c r="J338" t="s">
        <v>40</v>
      </c>
      <c r="K338" t="s">
        <v>28</v>
      </c>
      <c r="L338" t="s">
        <v>41</v>
      </c>
    </row>
    <row r="339" spans="1:12" x14ac:dyDescent="0.3">
      <c r="A339" t="s">
        <v>940</v>
      </c>
      <c r="B339" t="s">
        <v>941</v>
      </c>
      <c r="C339" t="s">
        <v>942</v>
      </c>
      <c r="D339" t="s">
        <v>71</v>
      </c>
      <c r="E339" t="s">
        <v>25</v>
      </c>
      <c r="F339" t="s">
        <v>26</v>
      </c>
      <c r="G339">
        <v>4</v>
      </c>
      <c r="H339">
        <v>750</v>
      </c>
      <c r="I339">
        <v>3000</v>
      </c>
      <c r="J339" t="s">
        <v>18</v>
      </c>
      <c r="K339" t="s">
        <v>19</v>
      </c>
      <c r="L339" t="s">
        <v>56</v>
      </c>
    </row>
    <row r="340" spans="1:12" x14ac:dyDescent="0.3">
      <c r="A340" t="s">
        <v>943</v>
      </c>
      <c r="B340" t="s">
        <v>583</v>
      </c>
      <c r="C340" t="s">
        <v>944</v>
      </c>
      <c r="D340" t="s">
        <v>49</v>
      </c>
      <c r="E340" t="s">
        <v>54</v>
      </c>
      <c r="F340" t="s">
        <v>17</v>
      </c>
      <c r="G340">
        <v>6</v>
      </c>
      <c r="H340">
        <v>150</v>
      </c>
      <c r="I340">
        <v>900</v>
      </c>
      <c r="J340" t="s">
        <v>40</v>
      </c>
      <c r="K340" t="s">
        <v>28</v>
      </c>
      <c r="L340" t="s">
        <v>41</v>
      </c>
    </row>
    <row r="341" spans="1:12" x14ac:dyDescent="0.3">
      <c r="A341" t="s">
        <v>945</v>
      </c>
      <c r="B341" t="s">
        <v>841</v>
      </c>
      <c r="C341" t="s">
        <v>946</v>
      </c>
      <c r="D341" t="s">
        <v>45</v>
      </c>
      <c r="E341" t="s">
        <v>104</v>
      </c>
      <c r="F341" t="s">
        <v>26</v>
      </c>
      <c r="G341">
        <v>1</v>
      </c>
      <c r="H341">
        <v>400</v>
      </c>
      <c r="I341">
        <v>400</v>
      </c>
      <c r="J341" t="s">
        <v>27</v>
      </c>
      <c r="K341" t="s">
        <v>19</v>
      </c>
      <c r="L341" t="s">
        <v>41</v>
      </c>
    </row>
    <row r="342" spans="1:12" x14ac:dyDescent="0.3">
      <c r="A342" t="s">
        <v>947</v>
      </c>
      <c r="B342" t="s">
        <v>132</v>
      </c>
      <c r="C342" t="s">
        <v>948</v>
      </c>
      <c r="D342" t="s">
        <v>71</v>
      </c>
      <c r="E342" t="s">
        <v>54</v>
      </c>
      <c r="F342" t="s">
        <v>17</v>
      </c>
      <c r="G342">
        <v>1</v>
      </c>
      <c r="H342">
        <v>150</v>
      </c>
      <c r="I342">
        <v>150</v>
      </c>
      <c r="J342" t="s">
        <v>27</v>
      </c>
      <c r="K342" t="s">
        <v>19</v>
      </c>
      <c r="L342" t="s">
        <v>41</v>
      </c>
    </row>
    <row r="343" spans="1:12" x14ac:dyDescent="0.3">
      <c r="A343" t="s">
        <v>949</v>
      </c>
      <c r="B343" t="s">
        <v>209</v>
      </c>
      <c r="C343" t="s">
        <v>950</v>
      </c>
      <c r="D343" t="s">
        <v>103</v>
      </c>
      <c r="E343" t="s">
        <v>54</v>
      </c>
      <c r="F343" t="s">
        <v>17</v>
      </c>
      <c r="G343">
        <v>4</v>
      </c>
      <c r="H343">
        <v>150</v>
      </c>
      <c r="I343">
        <v>600</v>
      </c>
      <c r="J343" t="s">
        <v>50</v>
      </c>
      <c r="K343" t="s">
        <v>35</v>
      </c>
      <c r="L343" t="s">
        <v>41</v>
      </c>
    </row>
    <row r="344" spans="1:12" x14ac:dyDescent="0.3">
      <c r="A344" t="s">
        <v>951</v>
      </c>
      <c r="B344" t="s">
        <v>952</v>
      </c>
      <c r="C344" t="s">
        <v>953</v>
      </c>
      <c r="D344" t="s">
        <v>63</v>
      </c>
      <c r="E344" t="s">
        <v>33</v>
      </c>
      <c r="F344" t="s">
        <v>34</v>
      </c>
      <c r="G344">
        <v>4</v>
      </c>
      <c r="H344">
        <v>90</v>
      </c>
      <c r="I344">
        <v>360</v>
      </c>
      <c r="J344" t="s">
        <v>50</v>
      </c>
      <c r="K344" t="s">
        <v>76</v>
      </c>
      <c r="L344" t="s">
        <v>20</v>
      </c>
    </row>
    <row r="345" spans="1:12" x14ac:dyDescent="0.3">
      <c r="A345" t="s">
        <v>954</v>
      </c>
      <c r="B345" t="s">
        <v>619</v>
      </c>
      <c r="C345" t="s">
        <v>955</v>
      </c>
      <c r="D345" t="s">
        <v>49</v>
      </c>
      <c r="E345" t="s">
        <v>25</v>
      </c>
      <c r="F345" t="s">
        <v>26</v>
      </c>
      <c r="G345">
        <v>5</v>
      </c>
      <c r="H345">
        <v>750</v>
      </c>
      <c r="I345">
        <v>3750</v>
      </c>
      <c r="J345" t="s">
        <v>27</v>
      </c>
      <c r="K345" t="s">
        <v>28</v>
      </c>
      <c r="L345" t="s">
        <v>41</v>
      </c>
    </row>
    <row r="346" spans="1:12" x14ac:dyDescent="0.3">
      <c r="A346" t="s">
        <v>956</v>
      </c>
      <c r="B346" t="s">
        <v>957</v>
      </c>
      <c r="C346" t="s">
        <v>958</v>
      </c>
      <c r="D346" t="s">
        <v>63</v>
      </c>
      <c r="E346" t="s">
        <v>64</v>
      </c>
      <c r="F346" t="s">
        <v>26</v>
      </c>
      <c r="G346">
        <v>2</v>
      </c>
      <c r="H346">
        <v>550</v>
      </c>
      <c r="I346">
        <v>1100</v>
      </c>
      <c r="J346" t="s">
        <v>27</v>
      </c>
      <c r="K346" t="s">
        <v>28</v>
      </c>
      <c r="L346" t="s">
        <v>41</v>
      </c>
    </row>
    <row r="347" spans="1:12" x14ac:dyDescent="0.3">
      <c r="A347" t="s">
        <v>959</v>
      </c>
      <c r="B347" t="s">
        <v>960</v>
      </c>
      <c r="C347" t="s">
        <v>961</v>
      </c>
      <c r="D347" t="s">
        <v>45</v>
      </c>
      <c r="E347" t="s">
        <v>16</v>
      </c>
      <c r="F347" t="s">
        <v>17</v>
      </c>
      <c r="G347">
        <v>4</v>
      </c>
      <c r="H347">
        <v>300</v>
      </c>
      <c r="I347">
        <v>1200</v>
      </c>
      <c r="J347" t="s">
        <v>79</v>
      </c>
      <c r="K347" t="s">
        <v>35</v>
      </c>
      <c r="L347" t="s">
        <v>56</v>
      </c>
    </row>
    <row r="348" spans="1:12" x14ac:dyDescent="0.3">
      <c r="A348" t="s">
        <v>962</v>
      </c>
      <c r="B348" t="s">
        <v>963</v>
      </c>
      <c r="C348" t="s">
        <v>964</v>
      </c>
      <c r="D348" t="s">
        <v>63</v>
      </c>
      <c r="E348" t="s">
        <v>16</v>
      </c>
      <c r="F348" t="s">
        <v>17</v>
      </c>
      <c r="G348">
        <v>4</v>
      </c>
      <c r="H348">
        <v>300</v>
      </c>
      <c r="I348">
        <v>1200</v>
      </c>
      <c r="J348" t="s">
        <v>50</v>
      </c>
      <c r="K348" t="s">
        <v>19</v>
      </c>
      <c r="L348" t="s">
        <v>20</v>
      </c>
    </row>
    <row r="349" spans="1:12" x14ac:dyDescent="0.3">
      <c r="A349" t="s">
        <v>965</v>
      </c>
      <c r="B349" t="s">
        <v>966</v>
      </c>
      <c r="C349" t="s">
        <v>967</v>
      </c>
      <c r="D349" t="s">
        <v>63</v>
      </c>
      <c r="E349" t="s">
        <v>33</v>
      </c>
      <c r="F349" t="s">
        <v>34</v>
      </c>
      <c r="G349">
        <v>2</v>
      </c>
      <c r="H349">
        <v>90</v>
      </c>
      <c r="I349">
        <v>180</v>
      </c>
      <c r="J349" t="s">
        <v>40</v>
      </c>
      <c r="K349" t="s">
        <v>55</v>
      </c>
      <c r="L349" t="s">
        <v>20</v>
      </c>
    </row>
    <row r="350" spans="1:12" x14ac:dyDescent="0.3">
      <c r="A350" t="s">
        <v>968</v>
      </c>
      <c r="B350" t="s">
        <v>442</v>
      </c>
      <c r="C350" t="s">
        <v>969</v>
      </c>
      <c r="D350" t="s">
        <v>39</v>
      </c>
      <c r="E350" t="s">
        <v>33</v>
      </c>
      <c r="F350" t="s">
        <v>34</v>
      </c>
      <c r="G350">
        <v>5</v>
      </c>
      <c r="H350">
        <v>90</v>
      </c>
      <c r="I350">
        <v>450</v>
      </c>
      <c r="J350" t="s">
        <v>50</v>
      </c>
      <c r="K350" t="s">
        <v>28</v>
      </c>
      <c r="L350" t="s">
        <v>56</v>
      </c>
    </row>
    <row r="351" spans="1:12" x14ac:dyDescent="0.3">
      <c r="A351" t="s">
        <v>970</v>
      </c>
      <c r="B351" t="s">
        <v>971</v>
      </c>
      <c r="C351" t="s">
        <v>972</v>
      </c>
      <c r="D351" t="s">
        <v>24</v>
      </c>
      <c r="E351" t="s">
        <v>16</v>
      </c>
      <c r="F351" t="s">
        <v>17</v>
      </c>
      <c r="G351">
        <v>4</v>
      </c>
      <c r="H351">
        <v>300</v>
      </c>
      <c r="I351">
        <v>1200</v>
      </c>
      <c r="J351" t="s">
        <v>27</v>
      </c>
      <c r="K351" t="s">
        <v>28</v>
      </c>
      <c r="L351" t="s">
        <v>41</v>
      </c>
    </row>
    <row r="352" spans="1:12" x14ac:dyDescent="0.3">
      <c r="A352" t="s">
        <v>973</v>
      </c>
      <c r="B352" t="s">
        <v>546</v>
      </c>
      <c r="C352" t="s">
        <v>974</v>
      </c>
      <c r="D352" t="s">
        <v>24</v>
      </c>
      <c r="E352" t="s">
        <v>25</v>
      </c>
      <c r="F352" t="s">
        <v>26</v>
      </c>
      <c r="G352">
        <v>5</v>
      </c>
      <c r="H352">
        <v>750</v>
      </c>
      <c r="I352">
        <v>3750</v>
      </c>
      <c r="J352" t="s">
        <v>18</v>
      </c>
      <c r="K352" t="s">
        <v>55</v>
      </c>
      <c r="L352" t="s">
        <v>20</v>
      </c>
    </row>
    <row r="353" spans="1:12" x14ac:dyDescent="0.3">
      <c r="A353" t="s">
        <v>975</v>
      </c>
      <c r="B353" t="s">
        <v>764</v>
      </c>
      <c r="C353" t="s">
        <v>976</v>
      </c>
      <c r="D353" t="s">
        <v>71</v>
      </c>
      <c r="E353" t="s">
        <v>64</v>
      </c>
      <c r="F353" t="s">
        <v>26</v>
      </c>
      <c r="G353">
        <v>1</v>
      </c>
      <c r="H353">
        <v>550</v>
      </c>
      <c r="I353">
        <v>550</v>
      </c>
      <c r="J353" t="s">
        <v>50</v>
      </c>
      <c r="K353" t="s">
        <v>55</v>
      </c>
      <c r="L353" t="s">
        <v>56</v>
      </c>
    </row>
    <row r="354" spans="1:12" x14ac:dyDescent="0.3">
      <c r="A354" t="s">
        <v>977</v>
      </c>
      <c r="B354" t="s">
        <v>810</v>
      </c>
      <c r="C354" t="s">
        <v>978</v>
      </c>
      <c r="D354" t="s">
        <v>39</v>
      </c>
      <c r="E354" t="s">
        <v>16</v>
      </c>
      <c r="F354" t="s">
        <v>17</v>
      </c>
      <c r="G354">
        <v>5</v>
      </c>
      <c r="H354">
        <v>300</v>
      </c>
      <c r="I354">
        <v>1500</v>
      </c>
      <c r="J354" t="s">
        <v>40</v>
      </c>
      <c r="K354" t="s">
        <v>55</v>
      </c>
      <c r="L354" t="s">
        <v>56</v>
      </c>
    </row>
    <row r="355" spans="1:12" x14ac:dyDescent="0.3">
      <c r="A355" t="s">
        <v>979</v>
      </c>
      <c r="B355" t="s">
        <v>980</v>
      </c>
      <c r="C355" t="s">
        <v>981</v>
      </c>
      <c r="D355" t="s">
        <v>143</v>
      </c>
      <c r="E355" t="s">
        <v>25</v>
      </c>
      <c r="F355" t="s">
        <v>26</v>
      </c>
      <c r="G355">
        <v>1</v>
      </c>
      <c r="H355">
        <v>750</v>
      </c>
      <c r="I355">
        <v>750</v>
      </c>
      <c r="J355" t="s">
        <v>40</v>
      </c>
      <c r="K355" t="s">
        <v>76</v>
      </c>
      <c r="L355" t="s">
        <v>41</v>
      </c>
    </row>
    <row r="356" spans="1:12" x14ac:dyDescent="0.3">
      <c r="A356" t="s">
        <v>982</v>
      </c>
      <c r="B356" t="s">
        <v>983</v>
      </c>
      <c r="C356" t="s">
        <v>984</v>
      </c>
      <c r="D356" t="s">
        <v>93</v>
      </c>
      <c r="E356" t="s">
        <v>54</v>
      </c>
      <c r="F356" t="s">
        <v>17</v>
      </c>
      <c r="G356">
        <v>5</v>
      </c>
      <c r="H356">
        <v>150</v>
      </c>
      <c r="I356">
        <v>750</v>
      </c>
      <c r="J356" t="s">
        <v>72</v>
      </c>
      <c r="K356" t="s">
        <v>19</v>
      </c>
      <c r="L356" t="s">
        <v>41</v>
      </c>
    </row>
    <row r="357" spans="1:12" x14ac:dyDescent="0.3">
      <c r="A357" t="s">
        <v>985</v>
      </c>
      <c r="B357" t="s">
        <v>986</v>
      </c>
      <c r="C357" t="s">
        <v>987</v>
      </c>
      <c r="D357" t="s">
        <v>143</v>
      </c>
      <c r="E357" t="s">
        <v>16</v>
      </c>
      <c r="F357" t="s">
        <v>17</v>
      </c>
      <c r="G357">
        <v>1</v>
      </c>
      <c r="H357">
        <v>300</v>
      </c>
      <c r="I357">
        <v>300</v>
      </c>
      <c r="J357" t="s">
        <v>79</v>
      </c>
      <c r="K357" t="s">
        <v>19</v>
      </c>
      <c r="L357" t="s">
        <v>20</v>
      </c>
    </row>
    <row r="358" spans="1:12" x14ac:dyDescent="0.3">
      <c r="A358" t="s">
        <v>988</v>
      </c>
      <c r="B358" t="s">
        <v>989</v>
      </c>
      <c r="C358" t="s">
        <v>990</v>
      </c>
      <c r="D358" t="s">
        <v>15</v>
      </c>
      <c r="E358" t="s">
        <v>64</v>
      </c>
      <c r="F358" t="s">
        <v>26</v>
      </c>
      <c r="G358">
        <v>5</v>
      </c>
      <c r="H358">
        <v>550</v>
      </c>
      <c r="I358">
        <v>2750</v>
      </c>
      <c r="J358" t="s">
        <v>79</v>
      </c>
      <c r="K358" t="s">
        <v>55</v>
      </c>
      <c r="L358" t="s">
        <v>56</v>
      </c>
    </row>
    <row r="359" spans="1:12" x14ac:dyDescent="0.3">
      <c r="A359" t="s">
        <v>991</v>
      </c>
      <c r="B359" t="s">
        <v>912</v>
      </c>
      <c r="C359" t="s">
        <v>992</v>
      </c>
      <c r="D359" t="s">
        <v>24</v>
      </c>
      <c r="E359" t="s">
        <v>16</v>
      </c>
      <c r="F359" t="s">
        <v>17</v>
      </c>
      <c r="G359">
        <v>5</v>
      </c>
      <c r="H359">
        <v>300</v>
      </c>
      <c r="I359">
        <v>1500</v>
      </c>
      <c r="J359" t="s">
        <v>50</v>
      </c>
      <c r="K359" t="s">
        <v>76</v>
      </c>
      <c r="L359" t="s">
        <v>56</v>
      </c>
    </row>
    <row r="360" spans="1:12" x14ac:dyDescent="0.3">
      <c r="A360" t="s">
        <v>993</v>
      </c>
      <c r="B360" t="s">
        <v>994</v>
      </c>
      <c r="C360" t="s">
        <v>995</v>
      </c>
      <c r="D360" t="s">
        <v>49</v>
      </c>
      <c r="E360" t="s">
        <v>33</v>
      </c>
      <c r="F360" t="s">
        <v>34</v>
      </c>
      <c r="G360">
        <v>3</v>
      </c>
      <c r="H360">
        <v>90</v>
      </c>
      <c r="I360">
        <v>270</v>
      </c>
      <c r="J360" t="s">
        <v>72</v>
      </c>
      <c r="K360" t="s">
        <v>35</v>
      </c>
      <c r="L360" t="s">
        <v>56</v>
      </c>
    </row>
    <row r="361" spans="1:12" x14ac:dyDescent="0.3">
      <c r="A361" t="s">
        <v>996</v>
      </c>
      <c r="B361" t="s">
        <v>997</v>
      </c>
      <c r="C361" t="s">
        <v>998</v>
      </c>
      <c r="D361" t="s">
        <v>45</v>
      </c>
      <c r="E361" t="s">
        <v>16</v>
      </c>
      <c r="F361" t="s">
        <v>17</v>
      </c>
      <c r="G361">
        <v>5</v>
      </c>
      <c r="H361">
        <v>300</v>
      </c>
      <c r="I361">
        <v>1500</v>
      </c>
      <c r="J361" t="s">
        <v>79</v>
      </c>
      <c r="K361" t="s">
        <v>19</v>
      </c>
      <c r="L361" t="s">
        <v>20</v>
      </c>
    </row>
    <row r="362" spans="1:12" x14ac:dyDescent="0.3">
      <c r="A362" t="s">
        <v>999</v>
      </c>
      <c r="B362" t="s">
        <v>1000</v>
      </c>
      <c r="C362" t="s">
        <v>1001</v>
      </c>
      <c r="D362" t="s">
        <v>71</v>
      </c>
      <c r="E362" t="s">
        <v>33</v>
      </c>
      <c r="F362" t="s">
        <v>34</v>
      </c>
      <c r="G362">
        <v>5</v>
      </c>
      <c r="H362">
        <v>90</v>
      </c>
      <c r="I362">
        <v>450</v>
      </c>
      <c r="J362" t="s">
        <v>18</v>
      </c>
      <c r="K362" t="s">
        <v>55</v>
      </c>
      <c r="L362" t="s">
        <v>56</v>
      </c>
    </row>
    <row r="363" spans="1:12" x14ac:dyDescent="0.3">
      <c r="A363" t="s">
        <v>1002</v>
      </c>
      <c r="B363" t="s">
        <v>572</v>
      </c>
      <c r="C363" t="s">
        <v>1003</v>
      </c>
      <c r="D363" t="s">
        <v>39</v>
      </c>
      <c r="E363" t="s">
        <v>16</v>
      </c>
      <c r="F363" t="s">
        <v>17</v>
      </c>
      <c r="G363">
        <v>2</v>
      </c>
      <c r="H363">
        <v>300</v>
      </c>
      <c r="I363">
        <v>600</v>
      </c>
      <c r="J363" t="s">
        <v>72</v>
      </c>
      <c r="K363" t="s">
        <v>19</v>
      </c>
      <c r="L363" t="s">
        <v>56</v>
      </c>
    </row>
    <row r="364" spans="1:12" x14ac:dyDescent="0.3">
      <c r="A364" t="s">
        <v>1004</v>
      </c>
      <c r="B364" t="s">
        <v>1005</v>
      </c>
      <c r="C364" t="s">
        <v>1006</v>
      </c>
      <c r="D364" t="s">
        <v>49</v>
      </c>
      <c r="E364" t="s">
        <v>54</v>
      </c>
      <c r="F364" t="s">
        <v>17</v>
      </c>
      <c r="G364">
        <v>3</v>
      </c>
      <c r="H364">
        <v>150</v>
      </c>
      <c r="I364">
        <v>450</v>
      </c>
      <c r="J364" t="s">
        <v>18</v>
      </c>
      <c r="K364" t="s">
        <v>55</v>
      </c>
      <c r="L364" t="s">
        <v>20</v>
      </c>
    </row>
    <row r="365" spans="1:12" x14ac:dyDescent="0.3">
      <c r="A365" t="s">
        <v>1007</v>
      </c>
      <c r="B365" t="s">
        <v>1008</v>
      </c>
      <c r="C365" t="s">
        <v>1009</v>
      </c>
      <c r="D365" t="s">
        <v>32</v>
      </c>
      <c r="E365" t="s">
        <v>64</v>
      </c>
      <c r="F365" t="s">
        <v>26</v>
      </c>
      <c r="G365">
        <v>4</v>
      </c>
      <c r="H365">
        <v>550</v>
      </c>
      <c r="I365">
        <v>2200</v>
      </c>
      <c r="J365" t="s">
        <v>18</v>
      </c>
      <c r="K365" t="s">
        <v>76</v>
      </c>
      <c r="L365" t="s">
        <v>56</v>
      </c>
    </row>
    <row r="366" spans="1:12" x14ac:dyDescent="0.3">
      <c r="A366" t="s">
        <v>1010</v>
      </c>
      <c r="B366" t="s">
        <v>1011</v>
      </c>
      <c r="C366" t="s">
        <v>1012</v>
      </c>
      <c r="D366" t="s">
        <v>103</v>
      </c>
      <c r="E366" t="s">
        <v>25</v>
      </c>
      <c r="F366" t="s">
        <v>26</v>
      </c>
      <c r="G366">
        <v>5</v>
      </c>
      <c r="H366">
        <v>750</v>
      </c>
      <c r="I366">
        <v>3750</v>
      </c>
      <c r="J366" t="s">
        <v>50</v>
      </c>
      <c r="K366" t="s">
        <v>19</v>
      </c>
      <c r="L366" t="s">
        <v>56</v>
      </c>
    </row>
    <row r="367" spans="1:12" x14ac:dyDescent="0.3">
      <c r="A367" t="s">
        <v>1013</v>
      </c>
      <c r="B367" t="s">
        <v>1014</v>
      </c>
      <c r="C367" t="s">
        <v>1015</v>
      </c>
      <c r="D367" t="s">
        <v>45</v>
      </c>
      <c r="E367" t="s">
        <v>54</v>
      </c>
      <c r="F367" t="s">
        <v>17</v>
      </c>
      <c r="G367">
        <v>3</v>
      </c>
      <c r="H367">
        <v>150</v>
      </c>
      <c r="I367">
        <v>450</v>
      </c>
      <c r="J367" t="s">
        <v>40</v>
      </c>
      <c r="K367" t="s">
        <v>35</v>
      </c>
      <c r="L367" t="s">
        <v>41</v>
      </c>
    </row>
    <row r="368" spans="1:12" x14ac:dyDescent="0.3">
      <c r="A368" t="s">
        <v>1016</v>
      </c>
      <c r="B368" t="s">
        <v>326</v>
      </c>
      <c r="C368" t="s">
        <v>1017</v>
      </c>
      <c r="D368" t="s">
        <v>24</v>
      </c>
      <c r="E368" t="s">
        <v>16</v>
      </c>
      <c r="F368" t="s">
        <v>17</v>
      </c>
      <c r="G368">
        <v>5</v>
      </c>
      <c r="H368">
        <v>300</v>
      </c>
      <c r="I368">
        <v>1500</v>
      </c>
      <c r="J368" t="s">
        <v>40</v>
      </c>
      <c r="K368" t="s">
        <v>55</v>
      </c>
      <c r="L368" t="s">
        <v>56</v>
      </c>
    </row>
    <row r="369" spans="1:12" x14ac:dyDescent="0.3">
      <c r="A369" t="s">
        <v>1018</v>
      </c>
      <c r="B369" t="s">
        <v>461</v>
      </c>
      <c r="C369" t="s">
        <v>1019</v>
      </c>
      <c r="D369" t="s">
        <v>93</v>
      </c>
      <c r="E369" t="s">
        <v>33</v>
      </c>
      <c r="F369" t="s">
        <v>34</v>
      </c>
      <c r="G369">
        <v>6</v>
      </c>
      <c r="H369">
        <v>90</v>
      </c>
      <c r="I369">
        <v>540</v>
      </c>
      <c r="J369" t="s">
        <v>27</v>
      </c>
      <c r="K369" t="s">
        <v>76</v>
      </c>
      <c r="L369" t="s">
        <v>41</v>
      </c>
    </row>
    <row r="370" spans="1:12" x14ac:dyDescent="0.3">
      <c r="A370" t="s">
        <v>1020</v>
      </c>
      <c r="B370" t="s">
        <v>847</v>
      </c>
      <c r="C370" t="s">
        <v>1021</v>
      </c>
      <c r="D370" t="s">
        <v>103</v>
      </c>
      <c r="E370" t="s">
        <v>33</v>
      </c>
      <c r="F370" t="s">
        <v>34</v>
      </c>
      <c r="G370">
        <v>5</v>
      </c>
      <c r="H370">
        <v>90</v>
      </c>
      <c r="I370">
        <v>450</v>
      </c>
      <c r="J370" t="s">
        <v>72</v>
      </c>
      <c r="K370" t="s">
        <v>19</v>
      </c>
      <c r="L370" t="s">
        <v>56</v>
      </c>
    </row>
    <row r="371" spans="1:12" x14ac:dyDescent="0.3">
      <c r="A371" t="s">
        <v>1022</v>
      </c>
      <c r="B371" t="s">
        <v>129</v>
      </c>
      <c r="C371" t="s">
        <v>1023</v>
      </c>
      <c r="D371" t="s">
        <v>93</v>
      </c>
      <c r="E371" t="s">
        <v>104</v>
      </c>
      <c r="F371" t="s">
        <v>26</v>
      </c>
      <c r="G371">
        <v>3</v>
      </c>
      <c r="H371">
        <v>400</v>
      </c>
      <c r="I371">
        <v>1200</v>
      </c>
      <c r="J371" t="s">
        <v>50</v>
      </c>
      <c r="K371" t="s">
        <v>19</v>
      </c>
      <c r="L371" t="s">
        <v>20</v>
      </c>
    </row>
    <row r="372" spans="1:12" x14ac:dyDescent="0.3">
      <c r="A372" t="s">
        <v>1024</v>
      </c>
      <c r="B372" t="s">
        <v>963</v>
      </c>
      <c r="C372" t="s">
        <v>1025</v>
      </c>
      <c r="D372" t="s">
        <v>83</v>
      </c>
      <c r="E372" t="s">
        <v>25</v>
      </c>
      <c r="F372" t="s">
        <v>26</v>
      </c>
      <c r="G372">
        <v>1</v>
      </c>
      <c r="H372">
        <v>750</v>
      </c>
      <c r="I372">
        <v>750</v>
      </c>
      <c r="J372" t="s">
        <v>18</v>
      </c>
      <c r="K372" t="s">
        <v>35</v>
      </c>
      <c r="L372" t="s">
        <v>56</v>
      </c>
    </row>
    <row r="373" spans="1:12" x14ac:dyDescent="0.3">
      <c r="A373" t="s">
        <v>1026</v>
      </c>
      <c r="B373" t="s">
        <v>1027</v>
      </c>
      <c r="C373" t="s">
        <v>1028</v>
      </c>
      <c r="D373" t="s">
        <v>15</v>
      </c>
      <c r="E373" t="s">
        <v>104</v>
      </c>
      <c r="F373" t="s">
        <v>26</v>
      </c>
      <c r="G373">
        <v>4</v>
      </c>
      <c r="H373">
        <v>400</v>
      </c>
      <c r="I373">
        <v>1600</v>
      </c>
      <c r="J373" t="s">
        <v>27</v>
      </c>
      <c r="K373" t="s">
        <v>19</v>
      </c>
      <c r="L373" t="s">
        <v>20</v>
      </c>
    </row>
    <row r="374" spans="1:12" x14ac:dyDescent="0.3">
      <c r="A374" t="s">
        <v>1029</v>
      </c>
      <c r="B374" t="s">
        <v>546</v>
      </c>
      <c r="C374" t="s">
        <v>1030</v>
      </c>
      <c r="D374" t="s">
        <v>49</v>
      </c>
      <c r="E374" t="s">
        <v>104</v>
      </c>
      <c r="F374" t="s">
        <v>26</v>
      </c>
      <c r="G374">
        <v>4</v>
      </c>
      <c r="H374">
        <v>400</v>
      </c>
      <c r="I374">
        <v>1600</v>
      </c>
      <c r="J374" t="s">
        <v>50</v>
      </c>
      <c r="K374" t="s">
        <v>19</v>
      </c>
      <c r="L374" t="s">
        <v>56</v>
      </c>
    </row>
    <row r="375" spans="1:12" x14ac:dyDescent="0.3">
      <c r="A375" t="s">
        <v>1031</v>
      </c>
      <c r="B375" t="s">
        <v>145</v>
      </c>
      <c r="C375" t="s">
        <v>1032</v>
      </c>
      <c r="D375" t="s">
        <v>15</v>
      </c>
      <c r="E375" t="s">
        <v>25</v>
      </c>
      <c r="F375" t="s">
        <v>26</v>
      </c>
      <c r="G375">
        <v>1</v>
      </c>
      <c r="H375">
        <v>750</v>
      </c>
      <c r="I375">
        <v>750</v>
      </c>
      <c r="J375" t="s">
        <v>79</v>
      </c>
      <c r="K375" t="s">
        <v>35</v>
      </c>
      <c r="L375" t="s">
        <v>20</v>
      </c>
    </row>
    <row r="376" spans="1:12" x14ac:dyDescent="0.3">
      <c r="A376" t="s">
        <v>1033</v>
      </c>
      <c r="B376" t="s">
        <v>419</v>
      </c>
      <c r="C376" t="s">
        <v>1034</v>
      </c>
      <c r="D376" t="s">
        <v>63</v>
      </c>
      <c r="E376" t="s">
        <v>64</v>
      </c>
      <c r="F376" t="s">
        <v>26</v>
      </c>
      <c r="G376">
        <v>3</v>
      </c>
      <c r="H376">
        <v>550</v>
      </c>
      <c r="I376">
        <v>1650</v>
      </c>
      <c r="J376" t="s">
        <v>79</v>
      </c>
      <c r="K376" t="s">
        <v>19</v>
      </c>
      <c r="L376" t="s">
        <v>41</v>
      </c>
    </row>
    <row r="377" spans="1:12" x14ac:dyDescent="0.3">
      <c r="A377" t="s">
        <v>1035</v>
      </c>
      <c r="B377" t="s">
        <v>1036</v>
      </c>
      <c r="C377" t="s">
        <v>1037</v>
      </c>
      <c r="D377" t="s">
        <v>32</v>
      </c>
      <c r="E377" t="s">
        <v>104</v>
      </c>
      <c r="F377" t="s">
        <v>26</v>
      </c>
      <c r="G377">
        <v>6</v>
      </c>
      <c r="H377">
        <v>400</v>
      </c>
      <c r="I377">
        <v>2400</v>
      </c>
      <c r="J377" t="s">
        <v>50</v>
      </c>
      <c r="K377" t="s">
        <v>76</v>
      </c>
      <c r="L377" t="s">
        <v>41</v>
      </c>
    </row>
    <row r="378" spans="1:12" x14ac:dyDescent="0.3">
      <c r="A378" t="s">
        <v>1038</v>
      </c>
      <c r="B378" t="s">
        <v>118</v>
      </c>
      <c r="C378" t="s">
        <v>1039</v>
      </c>
      <c r="D378" t="s">
        <v>15</v>
      </c>
      <c r="E378" t="s">
        <v>54</v>
      </c>
      <c r="F378" t="s">
        <v>17</v>
      </c>
      <c r="G378">
        <v>4</v>
      </c>
      <c r="H378">
        <v>150</v>
      </c>
      <c r="I378">
        <v>600</v>
      </c>
      <c r="J378" t="s">
        <v>27</v>
      </c>
      <c r="K378" t="s">
        <v>55</v>
      </c>
      <c r="L378" t="s">
        <v>56</v>
      </c>
    </row>
    <row r="379" spans="1:12" x14ac:dyDescent="0.3">
      <c r="A379" t="s">
        <v>1040</v>
      </c>
      <c r="B379" t="s">
        <v>994</v>
      </c>
      <c r="C379" t="s">
        <v>1041</v>
      </c>
      <c r="D379" t="s">
        <v>15</v>
      </c>
      <c r="E379" t="s">
        <v>104</v>
      </c>
      <c r="F379" t="s">
        <v>26</v>
      </c>
      <c r="G379">
        <v>2</v>
      </c>
      <c r="H379">
        <v>400</v>
      </c>
      <c r="I379">
        <v>800</v>
      </c>
      <c r="J379" t="s">
        <v>40</v>
      </c>
      <c r="K379" t="s">
        <v>19</v>
      </c>
      <c r="L379" t="s">
        <v>20</v>
      </c>
    </row>
    <row r="380" spans="1:12" x14ac:dyDescent="0.3">
      <c r="A380" t="s">
        <v>1042</v>
      </c>
      <c r="B380" t="s">
        <v>413</v>
      </c>
      <c r="C380" t="s">
        <v>1043</v>
      </c>
      <c r="D380" t="s">
        <v>32</v>
      </c>
      <c r="E380" t="s">
        <v>16</v>
      </c>
      <c r="F380" t="s">
        <v>17</v>
      </c>
      <c r="G380">
        <v>3</v>
      </c>
      <c r="H380">
        <v>300</v>
      </c>
      <c r="I380">
        <v>900</v>
      </c>
      <c r="J380" t="s">
        <v>72</v>
      </c>
      <c r="K380" t="s">
        <v>28</v>
      </c>
      <c r="L380" t="s">
        <v>20</v>
      </c>
    </row>
    <row r="381" spans="1:12" x14ac:dyDescent="0.3">
      <c r="A381" t="s">
        <v>1044</v>
      </c>
      <c r="B381" t="s">
        <v>455</v>
      </c>
      <c r="C381" t="s">
        <v>1045</v>
      </c>
      <c r="D381" t="s">
        <v>83</v>
      </c>
      <c r="E381" t="s">
        <v>104</v>
      </c>
      <c r="F381" t="s">
        <v>26</v>
      </c>
      <c r="G381">
        <v>5</v>
      </c>
      <c r="H381">
        <v>400</v>
      </c>
      <c r="I381">
        <v>2000</v>
      </c>
      <c r="J381" t="s">
        <v>50</v>
      </c>
      <c r="K381" t="s">
        <v>55</v>
      </c>
      <c r="L381" t="s">
        <v>20</v>
      </c>
    </row>
    <row r="382" spans="1:12" x14ac:dyDescent="0.3">
      <c r="A382" t="s">
        <v>1046</v>
      </c>
      <c r="B382" t="s">
        <v>1047</v>
      </c>
      <c r="C382" t="s">
        <v>1048</v>
      </c>
      <c r="D382" t="s">
        <v>63</v>
      </c>
      <c r="E382" t="s">
        <v>33</v>
      </c>
      <c r="F382" t="s">
        <v>34</v>
      </c>
      <c r="G382">
        <v>6</v>
      </c>
      <c r="H382">
        <v>90</v>
      </c>
      <c r="I382">
        <v>540</v>
      </c>
      <c r="J382" t="s">
        <v>50</v>
      </c>
      <c r="K382" t="s">
        <v>19</v>
      </c>
      <c r="L382" t="s">
        <v>41</v>
      </c>
    </row>
    <row r="383" spans="1:12" x14ac:dyDescent="0.3">
      <c r="A383" t="s">
        <v>1049</v>
      </c>
      <c r="B383" t="s">
        <v>583</v>
      </c>
      <c r="C383" t="s">
        <v>1050</v>
      </c>
      <c r="D383" t="s">
        <v>49</v>
      </c>
      <c r="E383" t="s">
        <v>104</v>
      </c>
      <c r="F383" t="s">
        <v>26</v>
      </c>
      <c r="G383">
        <v>4</v>
      </c>
      <c r="H383">
        <v>400</v>
      </c>
      <c r="I383">
        <v>1600</v>
      </c>
      <c r="J383" t="s">
        <v>18</v>
      </c>
      <c r="K383" t="s">
        <v>35</v>
      </c>
      <c r="L383" t="s">
        <v>41</v>
      </c>
    </row>
    <row r="384" spans="1:12" x14ac:dyDescent="0.3">
      <c r="A384" t="s">
        <v>1051</v>
      </c>
      <c r="B384" t="s">
        <v>1052</v>
      </c>
      <c r="C384" t="s">
        <v>1053</v>
      </c>
      <c r="D384" t="s">
        <v>63</v>
      </c>
      <c r="E384" t="s">
        <v>33</v>
      </c>
      <c r="F384" t="s">
        <v>34</v>
      </c>
      <c r="G384">
        <v>3</v>
      </c>
      <c r="H384">
        <v>90</v>
      </c>
      <c r="I384">
        <v>270</v>
      </c>
      <c r="J384" t="s">
        <v>72</v>
      </c>
      <c r="K384" t="s">
        <v>76</v>
      </c>
      <c r="L384" t="s">
        <v>41</v>
      </c>
    </row>
    <row r="385" spans="1:12" x14ac:dyDescent="0.3">
      <c r="A385" t="s">
        <v>1054</v>
      </c>
      <c r="B385" t="s">
        <v>1055</v>
      </c>
      <c r="C385" t="s">
        <v>1056</v>
      </c>
      <c r="D385" t="s">
        <v>63</v>
      </c>
      <c r="E385" t="s">
        <v>16</v>
      </c>
      <c r="F385" t="s">
        <v>17</v>
      </c>
      <c r="G385">
        <v>1</v>
      </c>
      <c r="H385">
        <v>300</v>
      </c>
      <c r="I385">
        <v>300</v>
      </c>
      <c r="J385" t="s">
        <v>40</v>
      </c>
      <c r="K385" t="s">
        <v>76</v>
      </c>
      <c r="L385" t="s">
        <v>56</v>
      </c>
    </row>
    <row r="386" spans="1:12" x14ac:dyDescent="0.3">
      <c r="A386" t="s">
        <v>1057</v>
      </c>
      <c r="B386" t="s">
        <v>246</v>
      </c>
      <c r="C386" t="s">
        <v>1058</v>
      </c>
      <c r="D386" t="s">
        <v>45</v>
      </c>
      <c r="E386" t="s">
        <v>54</v>
      </c>
      <c r="F386" t="s">
        <v>17</v>
      </c>
      <c r="G386">
        <v>5</v>
      </c>
      <c r="H386">
        <v>150</v>
      </c>
      <c r="I386">
        <v>750</v>
      </c>
      <c r="J386" t="s">
        <v>40</v>
      </c>
      <c r="K386" t="s">
        <v>28</v>
      </c>
      <c r="L386" t="s">
        <v>41</v>
      </c>
    </row>
    <row r="387" spans="1:12" x14ac:dyDescent="0.3">
      <c r="A387" t="s">
        <v>1059</v>
      </c>
      <c r="B387" t="s">
        <v>1060</v>
      </c>
      <c r="C387" t="s">
        <v>268</v>
      </c>
      <c r="D387" t="s">
        <v>93</v>
      </c>
      <c r="E387" t="s">
        <v>54</v>
      </c>
      <c r="F387" t="s">
        <v>17</v>
      </c>
      <c r="G387">
        <v>6</v>
      </c>
      <c r="H387">
        <v>150</v>
      </c>
      <c r="I387">
        <v>900</v>
      </c>
      <c r="J387" t="s">
        <v>72</v>
      </c>
      <c r="K387" t="s">
        <v>19</v>
      </c>
      <c r="L387" t="s">
        <v>20</v>
      </c>
    </row>
    <row r="388" spans="1:12" x14ac:dyDescent="0.3">
      <c r="A388" t="s">
        <v>1061</v>
      </c>
      <c r="B388" t="s">
        <v>1062</v>
      </c>
      <c r="C388" t="s">
        <v>1063</v>
      </c>
      <c r="D388" t="s">
        <v>32</v>
      </c>
      <c r="E388" t="s">
        <v>104</v>
      </c>
      <c r="F388" t="s">
        <v>26</v>
      </c>
      <c r="G388">
        <v>1</v>
      </c>
      <c r="H388">
        <v>400</v>
      </c>
      <c r="I388">
        <v>400</v>
      </c>
      <c r="J388" t="s">
        <v>72</v>
      </c>
      <c r="K388" t="s">
        <v>55</v>
      </c>
      <c r="L388" t="s">
        <v>41</v>
      </c>
    </row>
    <row r="389" spans="1:12" x14ac:dyDescent="0.3">
      <c r="A389" t="s">
        <v>1064</v>
      </c>
      <c r="B389" t="s">
        <v>499</v>
      </c>
      <c r="C389" t="s">
        <v>1065</v>
      </c>
      <c r="D389" t="s">
        <v>83</v>
      </c>
      <c r="E389" t="s">
        <v>104</v>
      </c>
      <c r="F389" t="s">
        <v>26</v>
      </c>
      <c r="G389">
        <v>6</v>
      </c>
      <c r="H389">
        <v>400</v>
      </c>
      <c r="I389">
        <v>2400</v>
      </c>
      <c r="J389" t="s">
        <v>18</v>
      </c>
      <c r="K389" t="s">
        <v>76</v>
      </c>
      <c r="L389" t="s">
        <v>41</v>
      </c>
    </row>
    <row r="390" spans="1:12" x14ac:dyDescent="0.3">
      <c r="A390" t="s">
        <v>1066</v>
      </c>
      <c r="B390" t="s">
        <v>258</v>
      </c>
      <c r="C390" t="s">
        <v>1067</v>
      </c>
      <c r="D390" t="s">
        <v>49</v>
      </c>
      <c r="E390" t="s">
        <v>54</v>
      </c>
      <c r="F390" t="s">
        <v>17</v>
      </c>
      <c r="G390">
        <v>3</v>
      </c>
      <c r="H390">
        <v>150</v>
      </c>
      <c r="I390">
        <v>450</v>
      </c>
      <c r="J390" t="s">
        <v>40</v>
      </c>
      <c r="K390" t="s">
        <v>76</v>
      </c>
      <c r="L390" t="s">
        <v>20</v>
      </c>
    </row>
    <row r="391" spans="1:12" x14ac:dyDescent="0.3">
      <c r="A391" t="s">
        <v>1068</v>
      </c>
      <c r="B391" t="s">
        <v>1069</v>
      </c>
      <c r="C391" t="s">
        <v>1070</v>
      </c>
      <c r="D391" t="s">
        <v>32</v>
      </c>
      <c r="E391" t="s">
        <v>104</v>
      </c>
      <c r="F391" t="s">
        <v>26</v>
      </c>
      <c r="G391">
        <v>1</v>
      </c>
      <c r="H391">
        <v>400</v>
      </c>
      <c r="I391">
        <v>400</v>
      </c>
      <c r="J391" t="s">
        <v>79</v>
      </c>
      <c r="K391" t="s">
        <v>76</v>
      </c>
      <c r="L391" t="s">
        <v>56</v>
      </c>
    </row>
    <row r="392" spans="1:12" x14ac:dyDescent="0.3">
      <c r="A392" t="s">
        <v>1071</v>
      </c>
      <c r="B392" t="s">
        <v>74</v>
      </c>
      <c r="C392" t="s">
        <v>1072</v>
      </c>
      <c r="D392" t="s">
        <v>49</v>
      </c>
      <c r="E392" t="s">
        <v>104</v>
      </c>
      <c r="F392" t="s">
        <v>26</v>
      </c>
      <c r="G392">
        <v>5</v>
      </c>
      <c r="H392">
        <v>400</v>
      </c>
      <c r="I392">
        <v>2000</v>
      </c>
      <c r="J392" t="s">
        <v>72</v>
      </c>
      <c r="K392" t="s">
        <v>35</v>
      </c>
      <c r="L392" t="s">
        <v>41</v>
      </c>
    </row>
    <row r="393" spans="1:12" x14ac:dyDescent="0.3">
      <c r="A393" t="s">
        <v>1073</v>
      </c>
      <c r="B393" t="s">
        <v>237</v>
      </c>
      <c r="C393" t="s">
        <v>1074</v>
      </c>
      <c r="D393" t="s">
        <v>143</v>
      </c>
      <c r="E393" t="s">
        <v>25</v>
      </c>
      <c r="F393" t="s">
        <v>26</v>
      </c>
      <c r="G393">
        <v>5</v>
      </c>
      <c r="H393">
        <v>750</v>
      </c>
      <c r="I393">
        <v>3750</v>
      </c>
      <c r="J393" t="s">
        <v>79</v>
      </c>
      <c r="K393" t="s">
        <v>19</v>
      </c>
      <c r="L393" t="s">
        <v>56</v>
      </c>
    </row>
    <row r="394" spans="1:12" x14ac:dyDescent="0.3">
      <c r="A394" t="s">
        <v>1075</v>
      </c>
      <c r="B394" t="s">
        <v>439</v>
      </c>
      <c r="C394" t="s">
        <v>1076</v>
      </c>
      <c r="D394" t="s">
        <v>93</v>
      </c>
      <c r="E394" t="s">
        <v>25</v>
      </c>
      <c r="F394" t="s">
        <v>26</v>
      </c>
      <c r="G394">
        <v>3</v>
      </c>
      <c r="H394">
        <v>750</v>
      </c>
      <c r="I394">
        <v>2250</v>
      </c>
      <c r="J394" t="s">
        <v>40</v>
      </c>
      <c r="K394" t="s">
        <v>76</v>
      </c>
      <c r="L394" t="s">
        <v>20</v>
      </c>
    </row>
    <row r="395" spans="1:12" x14ac:dyDescent="0.3">
      <c r="A395" t="s">
        <v>1077</v>
      </c>
      <c r="B395" t="s">
        <v>1008</v>
      </c>
      <c r="C395" t="s">
        <v>322</v>
      </c>
      <c r="D395" t="s">
        <v>24</v>
      </c>
      <c r="E395" t="s">
        <v>25</v>
      </c>
      <c r="F395" t="s">
        <v>26</v>
      </c>
      <c r="G395">
        <v>2</v>
      </c>
      <c r="H395">
        <v>750</v>
      </c>
      <c r="I395">
        <v>1500</v>
      </c>
      <c r="J395" t="s">
        <v>72</v>
      </c>
      <c r="K395" t="s">
        <v>35</v>
      </c>
      <c r="L395" t="s">
        <v>20</v>
      </c>
    </row>
    <row r="396" spans="1:12" x14ac:dyDescent="0.3">
      <c r="A396" t="s">
        <v>1078</v>
      </c>
      <c r="B396" t="s">
        <v>1036</v>
      </c>
      <c r="C396" t="s">
        <v>1079</v>
      </c>
      <c r="D396" t="s">
        <v>49</v>
      </c>
      <c r="E396" t="s">
        <v>64</v>
      </c>
      <c r="F396" t="s">
        <v>26</v>
      </c>
      <c r="G396">
        <v>1</v>
      </c>
      <c r="H396">
        <v>550</v>
      </c>
      <c r="I396">
        <v>550</v>
      </c>
      <c r="J396" t="s">
        <v>79</v>
      </c>
      <c r="K396" t="s">
        <v>76</v>
      </c>
      <c r="L396" t="s">
        <v>56</v>
      </c>
    </row>
    <row r="397" spans="1:12" x14ac:dyDescent="0.3">
      <c r="A397" t="s">
        <v>1080</v>
      </c>
      <c r="B397" t="s">
        <v>98</v>
      </c>
      <c r="C397" t="s">
        <v>1081</v>
      </c>
      <c r="D397" t="s">
        <v>49</v>
      </c>
      <c r="E397" t="s">
        <v>54</v>
      </c>
      <c r="F397" t="s">
        <v>17</v>
      </c>
      <c r="G397">
        <v>6</v>
      </c>
      <c r="H397">
        <v>150</v>
      </c>
      <c r="I397">
        <v>900</v>
      </c>
      <c r="J397" t="s">
        <v>50</v>
      </c>
      <c r="K397" t="s">
        <v>76</v>
      </c>
      <c r="L397" t="s">
        <v>41</v>
      </c>
    </row>
    <row r="398" spans="1:12" x14ac:dyDescent="0.3">
      <c r="A398" t="s">
        <v>1082</v>
      </c>
      <c r="B398" t="s">
        <v>264</v>
      </c>
      <c r="C398" t="s">
        <v>1083</v>
      </c>
      <c r="D398" t="s">
        <v>49</v>
      </c>
      <c r="E398" t="s">
        <v>64</v>
      </c>
      <c r="F398" t="s">
        <v>26</v>
      </c>
      <c r="G398">
        <v>5</v>
      </c>
      <c r="H398">
        <v>550</v>
      </c>
      <c r="I398">
        <v>2750</v>
      </c>
      <c r="J398" t="s">
        <v>27</v>
      </c>
      <c r="K398" t="s">
        <v>35</v>
      </c>
      <c r="L398" t="s">
        <v>20</v>
      </c>
    </row>
    <row r="399" spans="1:12" x14ac:dyDescent="0.3">
      <c r="A399" t="s">
        <v>1084</v>
      </c>
      <c r="B399" t="s">
        <v>795</v>
      </c>
      <c r="C399" t="s">
        <v>1085</v>
      </c>
      <c r="D399" t="s">
        <v>103</v>
      </c>
      <c r="E399" t="s">
        <v>64</v>
      </c>
      <c r="F399" t="s">
        <v>26</v>
      </c>
      <c r="G399">
        <v>1</v>
      </c>
      <c r="H399">
        <v>550</v>
      </c>
      <c r="I399">
        <v>550</v>
      </c>
      <c r="J399" t="s">
        <v>79</v>
      </c>
      <c r="K399" t="s">
        <v>76</v>
      </c>
      <c r="L399" t="s">
        <v>56</v>
      </c>
    </row>
    <row r="400" spans="1:12" x14ac:dyDescent="0.3">
      <c r="A400" t="s">
        <v>1086</v>
      </c>
      <c r="B400" t="s">
        <v>366</v>
      </c>
      <c r="C400" t="s">
        <v>1087</v>
      </c>
      <c r="D400" t="s">
        <v>49</v>
      </c>
      <c r="E400" t="s">
        <v>64</v>
      </c>
      <c r="F400" t="s">
        <v>26</v>
      </c>
      <c r="G400">
        <v>6</v>
      </c>
      <c r="H400">
        <v>550</v>
      </c>
      <c r="I400">
        <v>3300</v>
      </c>
      <c r="J400" t="s">
        <v>72</v>
      </c>
      <c r="K400" t="s">
        <v>28</v>
      </c>
      <c r="L400" t="s">
        <v>20</v>
      </c>
    </row>
    <row r="401" spans="1:12" x14ac:dyDescent="0.3">
      <c r="A401" t="s">
        <v>1088</v>
      </c>
      <c r="B401" t="s">
        <v>371</v>
      </c>
      <c r="C401" t="s">
        <v>1089</v>
      </c>
      <c r="D401" t="s">
        <v>45</v>
      </c>
      <c r="E401" t="s">
        <v>33</v>
      </c>
      <c r="F401" t="s">
        <v>34</v>
      </c>
      <c r="G401">
        <v>6</v>
      </c>
      <c r="H401">
        <v>90</v>
      </c>
      <c r="I401">
        <v>540</v>
      </c>
      <c r="J401" t="s">
        <v>27</v>
      </c>
      <c r="K401" t="s">
        <v>35</v>
      </c>
      <c r="L401" t="s">
        <v>56</v>
      </c>
    </row>
    <row r="402" spans="1:12" x14ac:dyDescent="0.3">
      <c r="A402" t="s">
        <v>1090</v>
      </c>
      <c r="B402" t="s">
        <v>825</v>
      </c>
      <c r="C402" t="s">
        <v>1091</v>
      </c>
      <c r="D402" t="s">
        <v>83</v>
      </c>
      <c r="E402" t="s">
        <v>25</v>
      </c>
      <c r="F402" t="s">
        <v>26</v>
      </c>
      <c r="G402">
        <v>5</v>
      </c>
      <c r="H402">
        <v>750</v>
      </c>
      <c r="I402">
        <v>3750</v>
      </c>
      <c r="J402" t="s">
        <v>27</v>
      </c>
      <c r="K402" t="s">
        <v>28</v>
      </c>
      <c r="L402" t="s">
        <v>41</v>
      </c>
    </row>
    <row r="403" spans="1:12" x14ac:dyDescent="0.3">
      <c r="A403" t="s">
        <v>1092</v>
      </c>
      <c r="B403" t="s">
        <v>963</v>
      </c>
      <c r="C403" t="s">
        <v>1093</v>
      </c>
      <c r="D403" t="s">
        <v>32</v>
      </c>
      <c r="E403" t="s">
        <v>25</v>
      </c>
      <c r="F403" t="s">
        <v>26</v>
      </c>
      <c r="G403">
        <v>4</v>
      </c>
      <c r="H403">
        <v>750</v>
      </c>
      <c r="I403">
        <v>3000</v>
      </c>
      <c r="J403" t="s">
        <v>79</v>
      </c>
      <c r="K403" t="s">
        <v>19</v>
      </c>
      <c r="L403" t="s">
        <v>56</v>
      </c>
    </row>
    <row r="404" spans="1:12" x14ac:dyDescent="0.3">
      <c r="A404" t="s">
        <v>1094</v>
      </c>
      <c r="B404" t="s">
        <v>88</v>
      </c>
      <c r="C404" t="s">
        <v>1095</v>
      </c>
      <c r="D404" t="s">
        <v>45</v>
      </c>
      <c r="E404" t="s">
        <v>33</v>
      </c>
      <c r="F404" t="s">
        <v>34</v>
      </c>
      <c r="G404">
        <v>3</v>
      </c>
      <c r="H404">
        <v>90</v>
      </c>
      <c r="I404">
        <v>270</v>
      </c>
      <c r="J404" t="s">
        <v>50</v>
      </c>
      <c r="K404" t="s">
        <v>28</v>
      </c>
      <c r="L404" t="s">
        <v>56</v>
      </c>
    </row>
    <row r="405" spans="1:12" x14ac:dyDescent="0.3">
      <c r="A405" t="s">
        <v>1096</v>
      </c>
      <c r="B405" t="s">
        <v>755</v>
      </c>
      <c r="C405" t="s">
        <v>1097</v>
      </c>
      <c r="D405" t="s">
        <v>71</v>
      </c>
      <c r="E405" t="s">
        <v>54</v>
      </c>
      <c r="F405" t="s">
        <v>17</v>
      </c>
      <c r="G405">
        <v>1</v>
      </c>
      <c r="H405">
        <v>150</v>
      </c>
      <c r="I405">
        <v>150</v>
      </c>
      <c r="J405" t="s">
        <v>18</v>
      </c>
      <c r="K405" t="s">
        <v>28</v>
      </c>
      <c r="L405" t="s">
        <v>56</v>
      </c>
    </row>
    <row r="406" spans="1:12" x14ac:dyDescent="0.3">
      <c r="A406" t="s">
        <v>1098</v>
      </c>
      <c r="B406" t="s">
        <v>326</v>
      </c>
      <c r="C406" t="s">
        <v>1099</v>
      </c>
      <c r="D406" t="s">
        <v>24</v>
      </c>
      <c r="E406" t="s">
        <v>16</v>
      </c>
      <c r="F406" t="s">
        <v>17</v>
      </c>
      <c r="G406">
        <v>4</v>
      </c>
      <c r="H406">
        <v>300</v>
      </c>
      <c r="I406">
        <v>1200</v>
      </c>
      <c r="J406" t="s">
        <v>18</v>
      </c>
      <c r="K406" t="s">
        <v>35</v>
      </c>
      <c r="L406" t="s">
        <v>56</v>
      </c>
    </row>
    <row r="407" spans="1:12" x14ac:dyDescent="0.3">
      <c r="A407" t="s">
        <v>1100</v>
      </c>
      <c r="B407" t="s">
        <v>1101</v>
      </c>
      <c r="C407" t="s">
        <v>1102</v>
      </c>
      <c r="D407" t="s">
        <v>63</v>
      </c>
      <c r="E407" t="s">
        <v>16</v>
      </c>
      <c r="F407" t="s">
        <v>17</v>
      </c>
      <c r="G407">
        <v>2</v>
      </c>
      <c r="H407">
        <v>300</v>
      </c>
      <c r="I407">
        <v>600</v>
      </c>
      <c r="J407" t="s">
        <v>50</v>
      </c>
      <c r="K407" t="s">
        <v>19</v>
      </c>
      <c r="L407" t="s">
        <v>20</v>
      </c>
    </row>
    <row r="408" spans="1:12" x14ac:dyDescent="0.3">
      <c r="A408" t="s">
        <v>1103</v>
      </c>
      <c r="B408" t="s">
        <v>403</v>
      </c>
      <c r="C408" t="s">
        <v>1104</v>
      </c>
      <c r="D408" t="s">
        <v>45</v>
      </c>
      <c r="E408" t="s">
        <v>16</v>
      </c>
      <c r="F408" t="s">
        <v>17</v>
      </c>
      <c r="G408">
        <v>4</v>
      </c>
      <c r="H408">
        <v>300</v>
      </c>
      <c r="I408">
        <v>1200</v>
      </c>
      <c r="J408" t="s">
        <v>79</v>
      </c>
      <c r="K408" t="s">
        <v>35</v>
      </c>
      <c r="L408" t="s">
        <v>20</v>
      </c>
    </row>
    <row r="409" spans="1:12" x14ac:dyDescent="0.3">
      <c r="A409" t="s">
        <v>1105</v>
      </c>
      <c r="B409" t="s">
        <v>1106</v>
      </c>
      <c r="C409" t="s">
        <v>1107</v>
      </c>
      <c r="D409" t="s">
        <v>71</v>
      </c>
      <c r="E409" t="s">
        <v>104</v>
      </c>
      <c r="F409" t="s">
        <v>26</v>
      </c>
      <c r="G409">
        <v>4</v>
      </c>
      <c r="H409">
        <v>400</v>
      </c>
      <c r="I409">
        <v>1600</v>
      </c>
      <c r="J409" t="s">
        <v>50</v>
      </c>
      <c r="K409" t="s">
        <v>28</v>
      </c>
      <c r="L409" t="s">
        <v>20</v>
      </c>
    </row>
    <row r="410" spans="1:12" x14ac:dyDescent="0.3">
      <c r="A410" t="s">
        <v>1108</v>
      </c>
      <c r="B410" t="s">
        <v>458</v>
      </c>
      <c r="C410" t="s">
        <v>1109</v>
      </c>
      <c r="D410" t="s">
        <v>39</v>
      </c>
      <c r="E410" t="s">
        <v>33</v>
      </c>
      <c r="F410" t="s">
        <v>34</v>
      </c>
      <c r="G410">
        <v>3</v>
      </c>
      <c r="H410">
        <v>90</v>
      </c>
      <c r="I410">
        <v>270</v>
      </c>
      <c r="J410" t="s">
        <v>72</v>
      </c>
      <c r="K410" t="s">
        <v>55</v>
      </c>
      <c r="L410" t="s">
        <v>41</v>
      </c>
    </row>
    <row r="411" spans="1:12" x14ac:dyDescent="0.3">
      <c r="A411" t="s">
        <v>1110</v>
      </c>
      <c r="B411" t="s">
        <v>1055</v>
      </c>
      <c r="C411" t="s">
        <v>1111</v>
      </c>
      <c r="D411" t="s">
        <v>49</v>
      </c>
      <c r="E411" t="s">
        <v>54</v>
      </c>
      <c r="F411" t="s">
        <v>17</v>
      </c>
      <c r="G411">
        <v>6</v>
      </c>
      <c r="H411">
        <v>150</v>
      </c>
      <c r="I411">
        <v>900</v>
      </c>
      <c r="J411" t="s">
        <v>79</v>
      </c>
      <c r="K411" t="s">
        <v>55</v>
      </c>
      <c r="L411" t="s">
        <v>56</v>
      </c>
    </row>
    <row r="412" spans="1:12" x14ac:dyDescent="0.3">
      <c r="A412" t="s">
        <v>1112</v>
      </c>
      <c r="B412" t="s">
        <v>744</v>
      </c>
      <c r="C412" t="s">
        <v>1113</v>
      </c>
      <c r="D412" t="s">
        <v>83</v>
      </c>
      <c r="E412" t="s">
        <v>33</v>
      </c>
      <c r="F412" t="s">
        <v>34</v>
      </c>
      <c r="G412">
        <v>1</v>
      </c>
      <c r="H412">
        <v>90</v>
      </c>
      <c r="I412">
        <v>90</v>
      </c>
      <c r="J412" t="s">
        <v>72</v>
      </c>
      <c r="K412" t="s">
        <v>76</v>
      </c>
      <c r="L412" t="s">
        <v>56</v>
      </c>
    </row>
    <row r="413" spans="1:12" x14ac:dyDescent="0.3">
      <c r="A413" t="s">
        <v>1114</v>
      </c>
      <c r="B413" t="s">
        <v>240</v>
      </c>
      <c r="C413" t="s">
        <v>1115</v>
      </c>
      <c r="D413" t="s">
        <v>93</v>
      </c>
      <c r="E413" t="s">
        <v>104</v>
      </c>
      <c r="F413" t="s">
        <v>26</v>
      </c>
      <c r="G413">
        <v>2</v>
      </c>
      <c r="H413">
        <v>400</v>
      </c>
      <c r="I413">
        <v>800</v>
      </c>
      <c r="J413" t="s">
        <v>18</v>
      </c>
      <c r="K413" t="s">
        <v>19</v>
      </c>
      <c r="L413" t="s">
        <v>20</v>
      </c>
    </row>
    <row r="414" spans="1:12" x14ac:dyDescent="0.3">
      <c r="A414" t="s">
        <v>1116</v>
      </c>
      <c r="B414" t="s">
        <v>148</v>
      </c>
      <c r="C414" t="s">
        <v>1117</v>
      </c>
      <c r="D414" t="s">
        <v>63</v>
      </c>
      <c r="E414" t="s">
        <v>64</v>
      </c>
      <c r="F414" t="s">
        <v>26</v>
      </c>
      <c r="G414">
        <v>5</v>
      </c>
      <c r="H414">
        <v>550</v>
      </c>
      <c r="I414">
        <v>2750</v>
      </c>
      <c r="J414" t="s">
        <v>18</v>
      </c>
      <c r="K414" t="s">
        <v>55</v>
      </c>
      <c r="L414" t="s">
        <v>20</v>
      </c>
    </row>
    <row r="415" spans="1:12" x14ac:dyDescent="0.3">
      <c r="A415" t="s">
        <v>1118</v>
      </c>
      <c r="B415" t="s">
        <v>795</v>
      </c>
      <c r="C415" t="s">
        <v>1119</v>
      </c>
      <c r="D415" t="s">
        <v>32</v>
      </c>
      <c r="E415" t="s">
        <v>64</v>
      </c>
      <c r="F415" t="s">
        <v>26</v>
      </c>
      <c r="G415">
        <v>2</v>
      </c>
      <c r="H415">
        <v>550</v>
      </c>
      <c r="I415">
        <v>1100</v>
      </c>
      <c r="J415" t="s">
        <v>18</v>
      </c>
      <c r="K415" t="s">
        <v>28</v>
      </c>
      <c r="L415" t="s">
        <v>56</v>
      </c>
    </row>
    <row r="416" spans="1:12" x14ac:dyDescent="0.3">
      <c r="A416" t="s">
        <v>1120</v>
      </c>
      <c r="B416" t="s">
        <v>1121</v>
      </c>
      <c r="C416" t="s">
        <v>1122</v>
      </c>
      <c r="D416" t="s">
        <v>24</v>
      </c>
      <c r="E416" t="s">
        <v>16</v>
      </c>
      <c r="F416" t="s">
        <v>17</v>
      </c>
      <c r="G416">
        <v>2</v>
      </c>
      <c r="H416">
        <v>300</v>
      </c>
      <c r="I416">
        <v>600</v>
      </c>
      <c r="J416" t="s">
        <v>50</v>
      </c>
      <c r="K416" t="s">
        <v>76</v>
      </c>
      <c r="L416" t="s">
        <v>20</v>
      </c>
    </row>
    <row r="417" spans="1:12" x14ac:dyDescent="0.3">
      <c r="A417" t="s">
        <v>1123</v>
      </c>
      <c r="B417" t="s">
        <v>1124</v>
      </c>
      <c r="C417" t="s">
        <v>48</v>
      </c>
      <c r="D417" t="s">
        <v>24</v>
      </c>
      <c r="E417" t="s">
        <v>64</v>
      </c>
      <c r="F417" t="s">
        <v>26</v>
      </c>
      <c r="G417">
        <v>4</v>
      </c>
      <c r="H417">
        <v>550</v>
      </c>
      <c r="I417">
        <v>2200</v>
      </c>
      <c r="J417" t="s">
        <v>50</v>
      </c>
      <c r="K417" t="s">
        <v>55</v>
      </c>
      <c r="L417" t="s">
        <v>20</v>
      </c>
    </row>
    <row r="418" spans="1:12" x14ac:dyDescent="0.3">
      <c r="A418" t="s">
        <v>1125</v>
      </c>
      <c r="B418" t="s">
        <v>1126</v>
      </c>
      <c r="C418" t="s">
        <v>1127</v>
      </c>
      <c r="D418" t="s">
        <v>49</v>
      </c>
      <c r="E418" t="s">
        <v>64</v>
      </c>
      <c r="F418" t="s">
        <v>26</v>
      </c>
      <c r="G418">
        <v>2</v>
      </c>
      <c r="H418">
        <v>550</v>
      </c>
      <c r="I418">
        <v>1100</v>
      </c>
      <c r="J418" t="s">
        <v>79</v>
      </c>
      <c r="K418" t="s">
        <v>76</v>
      </c>
      <c r="L418" t="s">
        <v>20</v>
      </c>
    </row>
    <row r="419" spans="1:12" x14ac:dyDescent="0.3">
      <c r="A419" t="s">
        <v>1128</v>
      </c>
      <c r="B419" t="s">
        <v>1129</v>
      </c>
      <c r="C419" t="s">
        <v>1130</v>
      </c>
      <c r="D419" t="s">
        <v>32</v>
      </c>
      <c r="E419" t="s">
        <v>33</v>
      </c>
      <c r="F419" t="s">
        <v>34</v>
      </c>
      <c r="G419">
        <v>6</v>
      </c>
      <c r="H419">
        <v>90</v>
      </c>
      <c r="I419">
        <v>540</v>
      </c>
      <c r="J419" t="s">
        <v>27</v>
      </c>
      <c r="K419" t="s">
        <v>35</v>
      </c>
      <c r="L419" t="s">
        <v>56</v>
      </c>
    </row>
    <row r="420" spans="1:12" x14ac:dyDescent="0.3">
      <c r="A420" t="s">
        <v>1131</v>
      </c>
      <c r="B420" t="s">
        <v>526</v>
      </c>
      <c r="C420" t="s">
        <v>1132</v>
      </c>
      <c r="D420" t="s">
        <v>93</v>
      </c>
      <c r="E420" t="s">
        <v>104</v>
      </c>
      <c r="F420" t="s">
        <v>26</v>
      </c>
      <c r="G420">
        <v>4</v>
      </c>
      <c r="H420">
        <v>400</v>
      </c>
      <c r="I420">
        <v>1600</v>
      </c>
      <c r="J420" t="s">
        <v>72</v>
      </c>
      <c r="K420" t="s">
        <v>76</v>
      </c>
      <c r="L420" t="s">
        <v>20</v>
      </c>
    </row>
    <row r="421" spans="1:12" x14ac:dyDescent="0.3">
      <c r="A421" t="s">
        <v>1133</v>
      </c>
      <c r="B421" t="s">
        <v>856</v>
      </c>
      <c r="C421" t="s">
        <v>1134</v>
      </c>
      <c r="D421" t="s">
        <v>39</v>
      </c>
      <c r="E421" t="s">
        <v>25</v>
      </c>
      <c r="F421" t="s">
        <v>26</v>
      </c>
      <c r="G421">
        <v>5</v>
      </c>
      <c r="H421">
        <v>750</v>
      </c>
      <c r="I421">
        <v>3750</v>
      </c>
      <c r="J421" t="s">
        <v>79</v>
      </c>
      <c r="K421" t="s">
        <v>19</v>
      </c>
      <c r="L421" t="s">
        <v>56</v>
      </c>
    </row>
    <row r="422" spans="1:12" x14ac:dyDescent="0.3">
      <c r="A422" t="s">
        <v>1135</v>
      </c>
      <c r="B422" t="s">
        <v>1136</v>
      </c>
      <c r="C422" t="s">
        <v>681</v>
      </c>
      <c r="D422" t="s">
        <v>71</v>
      </c>
      <c r="E422" t="s">
        <v>33</v>
      </c>
      <c r="F422" t="s">
        <v>34</v>
      </c>
      <c r="G422">
        <v>3</v>
      </c>
      <c r="H422">
        <v>90</v>
      </c>
      <c r="I422">
        <v>270</v>
      </c>
      <c r="J422" t="s">
        <v>72</v>
      </c>
      <c r="K422" t="s">
        <v>28</v>
      </c>
      <c r="L422" t="s">
        <v>56</v>
      </c>
    </row>
    <row r="423" spans="1:12" x14ac:dyDescent="0.3">
      <c r="A423" t="s">
        <v>1137</v>
      </c>
      <c r="B423" t="s">
        <v>157</v>
      </c>
      <c r="C423" t="s">
        <v>1138</v>
      </c>
      <c r="D423" t="s">
        <v>15</v>
      </c>
      <c r="E423" t="s">
        <v>54</v>
      </c>
      <c r="F423" t="s">
        <v>17</v>
      </c>
      <c r="G423">
        <v>6</v>
      </c>
      <c r="H423">
        <v>150</v>
      </c>
      <c r="I423">
        <v>900</v>
      </c>
      <c r="J423" t="s">
        <v>40</v>
      </c>
      <c r="K423" t="s">
        <v>55</v>
      </c>
      <c r="L423" t="s">
        <v>41</v>
      </c>
    </row>
    <row r="424" spans="1:12" x14ac:dyDescent="0.3">
      <c r="A424" t="s">
        <v>1139</v>
      </c>
      <c r="B424" t="s">
        <v>1140</v>
      </c>
      <c r="C424" t="s">
        <v>1141</v>
      </c>
      <c r="D424" t="s">
        <v>103</v>
      </c>
      <c r="E424" t="s">
        <v>64</v>
      </c>
      <c r="F424" t="s">
        <v>26</v>
      </c>
      <c r="G424">
        <v>6</v>
      </c>
      <c r="H424">
        <v>550</v>
      </c>
      <c r="I424">
        <v>3300</v>
      </c>
      <c r="J424" t="s">
        <v>50</v>
      </c>
      <c r="K424" t="s">
        <v>76</v>
      </c>
      <c r="L424" t="s">
        <v>41</v>
      </c>
    </row>
    <row r="425" spans="1:12" x14ac:dyDescent="0.3">
      <c r="A425" t="s">
        <v>1142</v>
      </c>
      <c r="B425" t="s">
        <v>1143</v>
      </c>
      <c r="C425" t="s">
        <v>1144</v>
      </c>
      <c r="D425" t="s">
        <v>32</v>
      </c>
      <c r="E425" t="s">
        <v>64</v>
      </c>
      <c r="F425" t="s">
        <v>26</v>
      </c>
      <c r="G425">
        <v>4</v>
      </c>
      <c r="H425">
        <v>550</v>
      </c>
      <c r="I425">
        <v>2200</v>
      </c>
      <c r="J425" t="s">
        <v>72</v>
      </c>
      <c r="K425" t="s">
        <v>35</v>
      </c>
      <c r="L425" t="s">
        <v>20</v>
      </c>
    </row>
    <row r="426" spans="1:12" x14ac:dyDescent="0.3">
      <c r="A426" t="s">
        <v>1145</v>
      </c>
      <c r="B426" t="s">
        <v>1146</v>
      </c>
      <c r="C426" t="s">
        <v>276</v>
      </c>
      <c r="D426" t="s">
        <v>15</v>
      </c>
      <c r="E426" t="s">
        <v>33</v>
      </c>
      <c r="F426" t="s">
        <v>34</v>
      </c>
      <c r="G426">
        <v>2</v>
      </c>
      <c r="H426">
        <v>90</v>
      </c>
      <c r="I426">
        <v>180</v>
      </c>
      <c r="J426" t="s">
        <v>72</v>
      </c>
      <c r="K426" t="s">
        <v>55</v>
      </c>
      <c r="L426" t="s">
        <v>20</v>
      </c>
    </row>
    <row r="427" spans="1:12" x14ac:dyDescent="0.3">
      <c r="A427" t="s">
        <v>1147</v>
      </c>
      <c r="B427" t="s">
        <v>863</v>
      </c>
      <c r="C427" t="s">
        <v>1148</v>
      </c>
      <c r="D427" t="s">
        <v>32</v>
      </c>
      <c r="E427" t="s">
        <v>54</v>
      </c>
      <c r="F427" t="s">
        <v>17</v>
      </c>
      <c r="G427">
        <v>1</v>
      </c>
      <c r="H427">
        <v>150</v>
      </c>
      <c r="I427">
        <v>150</v>
      </c>
      <c r="J427" t="s">
        <v>27</v>
      </c>
      <c r="K427" t="s">
        <v>28</v>
      </c>
      <c r="L427" t="s">
        <v>41</v>
      </c>
    </row>
    <row r="428" spans="1:12" x14ac:dyDescent="0.3">
      <c r="A428" t="s">
        <v>1149</v>
      </c>
      <c r="B428" t="s">
        <v>912</v>
      </c>
      <c r="C428" t="s">
        <v>1150</v>
      </c>
      <c r="D428" t="s">
        <v>103</v>
      </c>
      <c r="E428" t="s">
        <v>33</v>
      </c>
      <c r="F428" t="s">
        <v>34</v>
      </c>
      <c r="G428">
        <v>4</v>
      </c>
      <c r="H428">
        <v>90</v>
      </c>
      <c r="I428">
        <v>360</v>
      </c>
      <c r="J428" t="s">
        <v>79</v>
      </c>
      <c r="K428" t="s">
        <v>76</v>
      </c>
      <c r="L428" t="s">
        <v>56</v>
      </c>
    </row>
    <row r="429" spans="1:12" x14ac:dyDescent="0.3">
      <c r="A429" t="s">
        <v>1151</v>
      </c>
      <c r="B429" t="s">
        <v>1152</v>
      </c>
      <c r="C429" t="s">
        <v>1153</v>
      </c>
      <c r="D429" t="s">
        <v>63</v>
      </c>
      <c r="E429" t="s">
        <v>64</v>
      </c>
      <c r="F429" t="s">
        <v>26</v>
      </c>
      <c r="G429">
        <v>1</v>
      </c>
      <c r="H429">
        <v>550</v>
      </c>
      <c r="I429">
        <v>550</v>
      </c>
      <c r="J429" t="s">
        <v>50</v>
      </c>
      <c r="K429" t="s">
        <v>55</v>
      </c>
      <c r="L429" t="s">
        <v>56</v>
      </c>
    </row>
    <row r="430" spans="1:12" x14ac:dyDescent="0.3">
      <c r="A430" t="s">
        <v>1154</v>
      </c>
      <c r="B430" t="s">
        <v>554</v>
      </c>
      <c r="C430" t="s">
        <v>1155</v>
      </c>
      <c r="D430" t="s">
        <v>24</v>
      </c>
      <c r="E430" t="s">
        <v>16</v>
      </c>
      <c r="F430" t="s">
        <v>17</v>
      </c>
      <c r="G430">
        <v>6</v>
      </c>
      <c r="H430">
        <v>300</v>
      </c>
      <c r="I430">
        <v>1800</v>
      </c>
      <c r="J430" t="s">
        <v>40</v>
      </c>
      <c r="K430" t="s">
        <v>28</v>
      </c>
      <c r="L430" t="s">
        <v>56</v>
      </c>
    </row>
    <row r="431" spans="1:12" x14ac:dyDescent="0.3">
      <c r="A431" t="s">
        <v>1156</v>
      </c>
      <c r="B431" t="s">
        <v>163</v>
      </c>
      <c r="C431" t="s">
        <v>1157</v>
      </c>
      <c r="D431" t="s">
        <v>45</v>
      </c>
      <c r="E431" t="s">
        <v>104</v>
      </c>
      <c r="F431" t="s">
        <v>26</v>
      </c>
      <c r="G431">
        <v>4</v>
      </c>
      <c r="H431">
        <v>400</v>
      </c>
      <c r="I431">
        <v>1600</v>
      </c>
      <c r="J431" t="s">
        <v>18</v>
      </c>
      <c r="K431" t="s">
        <v>28</v>
      </c>
      <c r="L431" t="s">
        <v>56</v>
      </c>
    </row>
    <row r="432" spans="1:12" x14ac:dyDescent="0.3">
      <c r="A432" t="s">
        <v>1158</v>
      </c>
      <c r="B432" t="s">
        <v>240</v>
      </c>
      <c r="C432" t="s">
        <v>1159</v>
      </c>
      <c r="D432" t="s">
        <v>71</v>
      </c>
      <c r="E432" t="s">
        <v>16</v>
      </c>
      <c r="F432" t="s">
        <v>17</v>
      </c>
      <c r="G432">
        <v>4</v>
      </c>
      <c r="H432">
        <v>300</v>
      </c>
      <c r="I432">
        <v>1200</v>
      </c>
      <c r="J432" t="s">
        <v>40</v>
      </c>
      <c r="K432" t="s">
        <v>76</v>
      </c>
      <c r="L432" t="s">
        <v>41</v>
      </c>
    </row>
    <row r="433" spans="1:12" x14ac:dyDescent="0.3">
      <c r="A433" t="s">
        <v>1160</v>
      </c>
      <c r="B433" t="s">
        <v>1161</v>
      </c>
      <c r="C433" t="s">
        <v>1162</v>
      </c>
      <c r="D433" t="s">
        <v>143</v>
      </c>
      <c r="E433" t="s">
        <v>16</v>
      </c>
      <c r="F433" t="s">
        <v>17</v>
      </c>
      <c r="G433">
        <v>6</v>
      </c>
      <c r="H433">
        <v>300</v>
      </c>
      <c r="I433">
        <v>1800</v>
      </c>
      <c r="J433" t="s">
        <v>50</v>
      </c>
      <c r="K433" t="s">
        <v>35</v>
      </c>
      <c r="L433" t="s">
        <v>56</v>
      </c>
    </row>
    <row r="434" spans="1:12" x14ac:dyDescent="0.3">
      <c r="A434" t="s">
        <v>1163</v>
      </c>
      <c r="B434" t="s">
        <v>346</v>
      </c>
      <c r="C434" t="s">
        <v>1164</v>
      </c>
      <c r="D434" t="s">
        <v>63</v>
      </c>
      <c r="E434" t="s">
        <v>25</v>
      </c>
      <c r="F434" t="s">
        <v>26</v>
      </c>
      <c r="G434">
        <v>3</v>
      </c>
      <c r="H434">
        <v>750</v>
      </c>
      <c r="I434">
        <v>2250</v>
      </c>
      <c r="J434" t="s">
        <v>18</v>
      </c>
      <c r="K434" t="s">
        <v>55</v>
      </c>
      <c r="L434" t="s">
        <v>41</v>
      </c>
    </row>
    <row r="435" spans="1:12" x14ac:dyDescent="0.3">
      <c r="A435" t="s">
        <v>1165</v>
      </c>
      <c r="B435" t="s">
        <v>567</v>
      </c>
      <c r="C435" t="s">
        <v>1166</v>
      </c>
      <c r="D435" t="s">
        <v>45</v>
      </c>
      <c r="E435" t="s">
        <v>54</v>
      </c>
      <c r="F435" t="s">
        <v>17</v>
      </c>
      <c r="G435">
        <v>6</v>
      </c>
      <c r="H435">
        <v>150</v>
      </c>
      <c r="I435">
        <v>900</v>
      </c>
      <c r="J435" t="s">
        <v>79</v>
      </c>
      <c r="K435" t="s">
        <v>55</v>
      </c>
      <c r="L435" t="s">
        <v>56</v>
      </c>
    </row>
    <row r="436" spans="1:12" x14ac:dyDescent="0.3">
      <c r="A436" t="s">
        <v>1167</v>
      </c>
      <c r="B436" t="s">
        <v>337</v>
      </c>
      <c r="C436" t="s">
        <v>1168</v>
      </c>
      <c r="D436" t="s">
        <v>24</v>
      </c>
      <c r="E436" t="s">
        <v>104</v>
      </c>
      <c r="F436" t="s">
        <v>26</v>
      </c>
      <c r="G436">
        <v>6</v>
      </c>
      <c r="H436">
        <v>400</v>
      </c>
      <c r="I436">
        <v>2400</v>
      </c>
      <c r="J436" t="s">
        <v>18</v>
      </c>
      <c r="K436" t="s">
        <v>19</v>
      </c>
      <c r="L436" t="s">
        <v>56</v>
      </c>
    </row>
    <row r="437" spans="1:12" x14ac:dyDescent="0.3">
      <c r="A437" t="s">
        <v>1169</v>
      </c>
      <c r="B437" t="s">
        <v>1170</v>
      </c>
      <c r="C437" t="s">
        <v>1171</v>
      </c>
      <c r="D437" t="s">
        <v>24</v>
      </c>
      <c r="E437" t="s">
        <v>64</v>
      </c>
      <c r="F437" t="s">
        <v>26</v>
      </c>
      <c r="G437">
        <v>2</v>
      </c>
      <c r="H437">
        <v>550</v>
      </c>
      <c r="I437">
        <v>1100</v>
      </c>
      <c r="J437" t="s">
        <v>50</v>
      </c>
      <c r="K437" t="s">
        <v>76</v>
      </c>
      <c r="L437" t="s">
        <v>20</v>
      </c>
    </row>
    <row r="438" spans="1:12" x14ac:dyDescent="0.3">
      <c r="A438" t="s">
        <v>1172</v>
      </c>
      <c r="B438" t="s">
        <v>822</v>
      </c>
      <c r="C438" t="s">
        <v>1173</v>
      </c>
      <c r="D438" t="s">
        <v>71</v>
      </c>
      <c r="E438" t="s">
        <v>33</v>
      </c>
      <c r="F438" t="s">
        <v>34</v>
      </c>
      <c r="G438">
        <v>4</v>
      </c>
      <c r="H438">
        <v>90</v>
      </c>
      <c r="I438">
        <v>360</v>
      </c>
      <c r="J438" t="s">
        <v>72</v>
      </c>
      <c r="K438" t="s">
        <v>35</v>
      </c>
      <c r="L438" t="s">
        <v>20</v>
      </c>
    </row>
    <row r="439" spans="1:12" x14ac:dyDescent="0.3">
      <c r="A439" t="s">
        <v>1174</v>
      </c>
      <c r="B439" t="s">
        <v>1175</v>
      </c>
      <c r="C439" t="s">
        <v>1176</v>
      </c>
      <c r="D439" t="s">
        <v>49</v>
      </c>
      <c r="E439" t="s">
        <v>33</v>
      </c>
      <c r="F439" t="s">
        <v>34</v>
      </c>
      <c r="G439">
        <v>3</v>
      </c>
      <c r="H439">
        <v>90</v>
      </c>
      <c r="I439">
        <v>270</v>
      </c>
      <c r="J439" t="s">
        <v>40</v>
      </c>
      <c r="K439" t="s">
        <v>55</v>
      </c>
      <c r="L439" t="s">
        <v>20</v>
      </c>
    </row>
    <row r="440" spans="1:12" x14ac:dyDescent="0.3">
      <c r="A440" t="s">
        <v>1177</v>
      </c>
      <c r="B440" t="s">
        <v>179</v>
      </c>
      <c r="C440" t="s">
        <v>1178</v>
      </c>
      <c r="D440" t="s">
        <v>32</v>
      </c>
      <c r="E440" t="s">
        <v>54</v>
      </c>
      <c r="F440" t="s">
        <v>17</v>
      </c>
      <c r="G440">
        <v>4</v>
      </c>
      <c r="H440">
        <v>150</v>
      </c>
      <c r="I440">
        <v>600</v>
      </c>
      <c r="J440" t="s">
        <v>79</v>
      </c>
      <c r="K440" t="s">
        <v>55</v>
      </c>
      <c r="L440" t="s">
        <v>20</v>
      </c>
    </row>
    <row r="441" spans="1:12" x14ac:dyDescent="0.3">
      <c r="A441" t="s">
        <v>1179</v>
      </c>
      <c r="B441" t="s">
        <v>822</v>
      </c>
      <c r="C441" t="s">
        <v>1180</v>
      </c>
      <c r="D441" t="s">
        <v>39</v>
      </c>
      <c r="E441" t="s">
        <v>104</v>
      </c>
      <c r="F441" t="s">
        <v>26</v>
      </c>
      <c r="G441">
        <v>2</v>
      </c>
      <c r="H441">
        <v>400</v>
      </c>
      <c r="I441">
        <v>800</v>
      </c>
      <c r="J441" t="s">
        <v>50</v>
      </c>
      <c r="K441" t="s">
        <v>55</v>
      </c>
      <c r="L441" t="s">
        <v>20</v>
      </c>
    </row>
    <row r="442" spans="1:12" x14ac:dyDescent="0.3">
      <c r="A442" t="s">
        <v>1181</v>
      </c>
      <c r="B442" t="s">
        <v>922</v>
      </c>
      <c r="C442" t="s">
        <v>1182</v>
      </c>
      <c r="D442" t="s">
        <v>93</v>
      </c>
      <c r="E442" t="s">
        <v>16</v>
      </c>
      <c r="F442" t="s">
        <v>17</v>
      </c>
      <c r="G442">
        <v>3</v>
      </c>
      <c r="H442">
        <v>300</v>
      </c>
      <c r="I442">
        <v>900</v>
      </c>
      <c r="J442" t="s">
        <v>72</v>
      </c>
      <c r="K442" t="s">
        <v>76</v>
      </c>
      <c r="L442" t="s">
        <v>41</v>
      </c>
    </row>
    <row r="443" spans="1:12" x14ac:dyDescent="0.3">
      <c r="A443" t="s">
        <v>1183</v>
      </c>
      <c r="B443" t="s">
        <v>293</v>
      </c>
      <c r="C443" t="s">
        <v>1184</v>
      </c>
      <c r="D443" t="s">
        <v>45</v>
      </c>
      <c r="E443" t="s">
        <v>16</v>
      </c>
      <c r="F443" t="s">
        <v>17</v>
      </c>
      <c r="G443">
        <v>4</v>
      </c>
      <c r="H443">
        <v>300</v>
      </c>
      <c r="I443">
        <v>1200</v>
      </c>
      <c r="J443" t="s">
        <v>18</v>
      </c>
      <c r="K443" t="s">
        <v>35</v>
      </c>
      <c r="L443" t="s">
        <v>56</v>
      </c>
    </row>
    <row r="444" spans="1:12" x14ac:dyDescent="0.3">
      <c r="A444" t="s">
        <v>1185</v>
      </c>
      <c r="B444" t="s">
        <v>1186</v>
      </c>
      <c r="C444" t="s">
        <v>1187</v>
      </c>
      <c r="D444" t="s">
        <v>143</v>
      </c>
      <c r="E444" t="s">
        <v>104</v>
      </c>
      <c r="F444" t="s">
        <v>26</v>
      </c>
      <c r="G444">
        <v>4</v>
      </c>
      <c r="H444">
        <v>400</v>
      </c>
      <c r="I444">
        <v>1600</v>
      </c>
      <c r="J444" t="s">
        <v>72</v>
      </c>
      <c r="K444" t="s">
        <v>28</v>
      </c>
      <c r="L444" t="s">
        <v>41</v>
      </c>
    </row>
    <row r="445" spans="1:12" x14ac:dyDescent="0.3">
      <c r="A445" t="s">
        <v>1188</v>
      </c>
      <c r="B445" t="s">
        <v>619</v>
      </c>
      <c r="C445" t="s">
        <v>1189</v>
      </c>
      <c r="D445" t="s">
        <v>143</v>
      </c>
      <c r="E445" t="s">
        <v>33</v>
      </c>
      <c r="F445" t="s">
        <v>34</v>
      </c>
      <c r="G445">
        <v>4</v>
      </c>
      <c r="H445">
        <v>90</v>
      </c>
      <c r="I445">
        <v>360</v>
      </c>
      <c r="J445" t="s">
        <v>50</v>
      </c>
      <c r="K445" t="s">
        <v>19</v>
      </c>
      <c r="L445" t="s">
        <v>56</v>
      </c>
    </row>
    <row r="446" spans="1:12" x14ac:dyDescent="0.3">
      <c r="A446" t="s">
        <v>1190</v>
      </c>
      <c r="B446" t="s">
        <v>1191</v>
      </c>
      <c r="C446" t="s">
        <v>1192</v>
      </c>
      <c r="D446" t="s">
        <v>143</v>
      </c>
      <c r="E446" t="s">
        <v>25</v>
      </c>
      <c r="F446" t="s">
        <v>26</v>
      </c>
      <c r="G446">
        <v>2</v>
      </c>
      <c r="H446">
        <v>750</v>
      </c>
      <c r="I446">
        <v>1500</v>
      </c>
      <c r="J446" t="s">
        <v>40</v>
      </c>
      <c r="K446" t="s">
        <v>19</v>
      </c>
      <c r="L446" t="s">
        <v>56</v>
      </c>
    </row>
    <row r="447" spans="1:12" x14ac:dyDescent="0.3">
      <c r="A447" t="s">
        <v>1193</v>
      </c>
      <c r="B447" t="s">
        <v>895</v>
      </c>
      <c r="C447" t="s">
        <v>1194</v>
      </c>
      <c r="D447" t="s">
        <v>15</v>
      </c>
      <c r="E447" t="s">
        <v>33</v>
      </c>
      <c r="F447" t="s">
        <v>34</v>
      </c>
      <c r="G447">
        <v>1</v>
      </c>
      <c r="H447">
        <v>90</v>
      </c>
      <c r="I447">
        <v>90</v>
      </c>
      <c r="J447" t="s">
        <v>18</v>
      </c>
      <c r="K447" t="s">
        <v>76</v>
      </c>
      <c r="L447" t="s">
        <v>56</v>
      </c>
    </row>
    <row r="448" spans="1:12" x14ac:dyDescent="0.3">
      <c r="A448" t="s">
        <v>1195</v>
      </c>
      <c r="B448" t="s">
        <v>758</v>
      </c>
      <c r="C448" t="s">
        <v>1196</v>
      </c>
      <c r="D448" t="s">
        <v>83</v>
      </c>
      <c r="E448" t="s">
        <v>25</v>
      </c>
      <c r="F448" t="s">
        <v>26</v>
      </c>
      <c r="G448">
        <v>1</v>
      </c>
      <c r="H448">
        <v>750</v>
      </c>
      <c r="I448">
        <v>750</v>
      </c>
      <c r="J448" t="s">
        <v>18</v>
      </c>
      <c r="K448" t="s">
        <v>19</v>
      </c>
      <c r="L448" t="s">
        <v>20</v>
      </c>
    </row>
    <row r="449" spans="1:12" x14ac:dyDescent="0.3">
      <c r="A449" t="s">
        <v>1197</v>
      </c>
      <c r="B449" t="s">
        <v>1198</v>
      </c>
      <c r="C449" t="s">
        <v>1199</v>
      </c>
      <c r="D449" t="s">
        <v>103</v>
      </c>
      <c r="E449" t="s">
        <v>16</v>
      </c>
      <c r="F449" t="s">
        <v>17</v>
      </c>
      <c r="G449">
        <v>2</v>
      </c>
      <c r="H449">
        <v>300</v>
      </c>
      <c r="I449">
        <v>600</v>
      </c>
      <c r="J449" t="s">
        <v>40</v>
      </c>
      <c r="K449" t="s">
        <v>28</v>
      </c>
      <c r="L449" t="s">
        <v>56</v>
      </c>
    </row>
    <row r="450" spans="1:12" x14ac:dyDescent="0.3">
      <c r="A450" t="s">
        <v>1200</v>
      </c>
      <c r="B450" t="s">
        <v>166</v>
      </c>
      <c r="C450" t="s">
        <v>1201</v>
      </c>
      <c r="D450" t="s">
        <v>63</v>
      </c>
      <c r="E450" t="s">
        <v>54</v>
      </c>
      <c r="F450" t="s">
        <v>17</v>
      </c>
      <c r="G450">
        <v>3</v>
      </c>
      <c r="H450">
        <v>150</v>
      </c>
      <c r="I450">
        <v>450</v>
      </c>
      <c r="J450" t="s">
        <v>79</v>
      </c>
      <c r="K450" t="s">
        <v>35</v>
      </c>
      <c r="L450" t="s">
        <v>41</v>
      </c>
    </row>
    <row r="451" spans="1:12" x14ac:dyDescent="0.3">
      <c r="A451" t="s">
        <v>1202</v>
      </c>
      <c r="B451" t="s">
        <v>567</v>
      </c>
      <c r="C451" t="s">
        <v>1203</v>
      </c>
      <c r="D451" t="s">
        <v>71</v>
      </c>
      <c r="E451" t="s">
        <v>33</v>
      </c>
      <c r="F451" t="s">
        <v>34</v>
      </c>
      <c r="G451">
        <v>1</v>
      </c>
      <c r="H451">
        <v>90</v>
      </c>
      <c r="I451">
        <v>90</v>
      </c>
      <c r="J451" t="s">
        <v>79</v>
      </c>
      <c r="K451" t="s">
        <v>35</v>
      </c>
      <c r="L451" t="s">
        <v>56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392B0C-ADB2-4711-93DB-24E869A045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Discriptive</vt:lpstr>
      <vt:lpstr>Regression</vt:lpstr>
      <vt:lpstr>OBJ1</vt:lpstr>
      <vt:lpstr>OBJ2</vt:lpstr>
      <vt:lpstr>OBJ3</vt:lpstr>
      <vt:lpstr>OBJ4</vt:lpstr>
      <vt:lpstr>OBJ5</vt:lpstr>
      <vt:lpstr>Dashboard</vt:lpstr>
      <vt:lpstr>Sales_Project_Data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Pathan Tanaaz</cp:lastModifiedBy>
  <dcterms:created xsi:type="dcterms:W3CDTF">2025-12-19T12:09:48Z</dcterms:created>
  <dcterms:modified xsi:type="dcterms:W3CDTF">2025-12-19T15:26:21Z</dcterms:modified>
</cp:coreProperties>
</file>